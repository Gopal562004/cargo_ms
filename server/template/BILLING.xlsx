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ILLING\"/>
    </mc:Choice>
  </mc:AlternateContent>
  <xr:revisionPtr revIDLastSave="0" documentId="13_ncr:1_{7096DCE4-A86E-458E-B7F9-7996526BF06F}" xr6:coauthVersionLast="47" xr6:coauthVersionMax="47" xr10:uidLastSave="{00000000-0000-0000-0000-000000000000}"/>
  <bookViews>
    <workbookView xWindow="-108" yWindow="-108" windowWidth="23256" windowHeight="12456" activeTab="2" xr2:uid="{97F004AA-B818-4246-B52C-8ADF4E9A3CA6}"/>
  </bookViews>
  <sheets>
    <sheet name="TAKAI BILLING" sheetId="7" r:id="rId1"/>
    <sheet name="EFFICIENT BILLING" sheetId="6" r:id="rId2"/>
    <sheet name="MANIFEST BILLING" sheetId="4" r:id="rId3"/>
    <sheet name="MULTIPLE GST BILLING" sheetId="5" r:id="rId4"/>
  </sheets>
  <definedNames>
    <definedName name="_xlnm.Print_Area" localSheetId="1">'EFFICIENT BILLING'!$A$1:$F$48</definedName>
    <definedName name="_xlnm.Print_Area" localSheetId="2">'MANIFEST BILLING'!$A$1:$F$49</definedName>
    <definedName name="_xlnm.Print_Area" localSheetId="3">'MULTIPLE GST BILLING'!$A$1:$F$49</definedName>
    <definedName name="_xlnm.Print_Area" localSheetId="0">'TAKAI BILLING'!$A$1:$F$48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4" l="1"/>
  <c r="F41" i="4" s="1"/>
  <c r="F36" i="4"/>
  <c r="F38" i="6"/>
  <c r="F29" i="6"/>
  <c r="J37" i="5"/>
  <c r="F40" i="5"/>
  <c r="F38" i="7"/>
  <c r="K29" i="5"/>
</calcChain>
</file>

<file path=xl/sharedStrings.xml><?xml version="1.0" encoding="utf-8"?>
<sst xmlns="http://schemas.openxmlformats.org/spreadsheetml/2006/main" count="137" uniqueCount="75">
  <si>
    <t>S No.</t>
  </si>
  <si>
    <t>Description</t>
  </si>
  <si>
    <t>HSN Code</t>
  </si>
  <si>
    <t>QTY.</t>
  </si>
  <si>
    <t>Seal &amp; Signature</t>
  </si>
  <si>
    <t>Buyer</t>
  </si>
  <si>
    <t>GSTIN/UIN: 27AAECE7206P1Z9</t>
  </si>
  <si>
    <t>TAX INVOICE</t>
  </si>
  <si>
    <t>Company Name: DGR GLOBAL LOGISTICS</t>
  </si>
  <si>
    <t>Address: GROUND FLOOR, ROOM-003, NX TOWER GM NAGAR, NARANGI BAYPASS ROAD, VIRAR EAST, 401305-PALGHAR, MAHARASHTRA, INDIA.</t>
  </si>
  <si>
    <t>Email ID: dgr.export.logistics@gmail.com</t>
  </si>
  <si>
    <t>GSTIN.: 27NSAPK0224B1Z7</t>
  </si>
  <si>
    <t>Name: EFFICIENT FREIGHT FORWARDERS PVT LTD</t>
  </si>
  <si>
    <t>Address: 2nd Floor/ C-205, Damji Shamji Corporate Square, Ghatkopar Andheri Link Road, Ghatkopar East, Mumbai-400077, Maharashtra, INDIA.</t>
  </si>
  <si>
    <t>Phone Number: -+91 91062 35771</t>
  </si>
  <si>
    <t>Delivery Address:</t>
  </si>
  <si>
    <t>SUB TOTAL</t>
  </si>
  <si>
    <t>Amount (₹)</t>
  </si>
  <si>
    <t>Total Amount Payable (₹)</t>
  </si>
  <si>
    <t xml:space="preserve">BANK NAME : HDFC BANK LTD A/c No : 5020 0112 5568 92 RTGS / NEFT no: HDFC0000994 Branch: VIRAR EAST - STATION ROAD </t>
  </si>
  <si>
    <t>BANK DETAILS:</t>
  </si>
  <si>
    <t>CGST @ 9%</t>
  </si>
  <si>
    <t>Address: 2ND FLOOR A WING, 218, Sagar Tech Plaza, Andheri Kurla Road, Sakinaka Junction, Mumbai, Mumbai Suburban, Maharashtra, 400072</t>
  </si>
  <si>
    <t>Name: MANIFEST EXPRESS LOGISTICS LLP</t>
  </si>
  <si>
    <t>GSTIN/UIN: 27ABYFM3165B1Z0</t>
  </si>
  <si>
    <t>Phone Number: +91 9619507404</t>
  </si>
  <si>
    <t>Rate</t>
  </si>
  <si>
    <t>DGD Charges</t>
  </si>
  <si>
    <t>Packing Charges</t>
  </si>
  <si>
    <t xml:space="preserve">Terms of Delivery : </t>
  </si>
  <si>
    <t>Buyer (Bill to)</t>
  </si>
  <si>
    <t xml:space="preserve">Terms And Condition: </t>
  </si>
  <si>
    <t>PRICE</t>
  </si>
  <si>
    <t>Name: TAKAI CHEMTECH INTERNATIONAL PVT LTD</t>
  </si>
  <si>
    <t>Address: A-218 Sagar Tech Plaza, Saki Naka Junction, Andheri Kurla Road, Andheri East Mumbai Maharashtra India 400072.</t>
  </si>
  <si>
    <t>Phone Number: +91 9326392294</t>
  </si>
  <si>
    <t>GSTIN/UIN: 27AAMCT0922D1Z1</t>
  </si>
  <si>
    <t>UN NUMBER DETAILS:                                              UN 3465/6.1/III</t>
  </si>
  <si>
    <t>DG Documentation Charges</t>
  </si>
  <si>
    <t>In Word :- INR TWO THOUSAND THREE HUNDRED SIXTY ONLY</t>
  </si>
  <si>
    <t>AWB NO :176-6268 0251</t>
  </si>
  <si>
    <t>S: TAKAI CHEMTECH INTERNATIONAL PVT LTD</t>
  </si>
  <si>
    <t>INV NO-TCI/26-27/002</t>
  </si>
  <si>
    <t>PKG: 02 (01 BOX DG, 01 NON DG)</t>
  </si>
  <si>
    <t>Invoice Number: DGR/007/2026-27</t>
  </si>
  <si>
    <t>Invoice Date.: 17/07/2026</t>
  </si>
  <si>
    <t>01 Box X3 &amp; 01 Non haz box</t>
  </si>
  <si>
    <t>Invoice Number: DGR/010/2026-27</t>
  </si>
  <si>
    <t>Invoice Date.: 25/07/2026</t>
  </si>
  <si>
    <t xml:space="preserve">Name: Unisource Chemicals Pvt Ltd </t>
  </si>
  <si>
    <t>Address: L-15, Tarapur M.I.D.C, Kalvada Naka, Kolavade, Maharashtra 401506</t>
  </si>
  <si>
    <t>Contact Number - 70211 57707 (Ravi)</t>
  </si>
  <si>
    <t>UN APPROVED BOX X55</t>
  </si>
  <si>
    <t>COURIER CHARGES</t>
  </si>
  <si>
    <t>CGST @ 2.50%</t>
  </si>
  <si>
    <t>In Word :- INR ONE THOUSAND NINE HUNDRED THIRTEEN ONLY</t>
  </si>
  <si>
    <t>Name: Sai Warehouse &amp; Transport</t>
  </si>
  <si>
    <t xml:space="preserve">Address: Gala no 2 Manish Estate, Chowdhary Compound , Behind Preeti Petrol Pump Near Ganesh Compound, PURNA BHIWANDI  </t>
  </si>
  <si>
    <t>Contact Number - 9221876157  Mr SUNIL</t>
  </si>
  <si>
    <t xml:space="preserve">UN APP MC Y 30 KG OPEN TOP </t>
  </si>
  <si>
    <t xml:space="preserve">PLASTIC DRUMS </t>
  </si>
  <si>
    <t>Qty.</t>
  </si>
  <si>
    <t>Transport Charges</t>
  </si>
  <si>
    <t>In Word :- INR THIRTY EIGHT THOUSAND SEVEN HUNDRED FOUR ONLY</t>
  </si>
  <si>
    <t>Invoice Number: DGR/013/2026-27</t>
  </si>
  <si>
    <t>Invoice Date.: 06/08/2026</t>
  </si>
  <si>
    <t>Invoice Date.: 07/08/2026</t>
  </si>
  <si>
    <t>UN NUMBER DETAILS:                                              UN 1549/6.1/III</t>
  </si>
  <si>
    <t>Invoice Number: DGR/015/2026-27</t>
  </si>
  <si>
    <t>01 Box X3 Rs. 850/-</t>
  </si>
  <si>
    <t>In Word :- INR THREE THOUSAND THREE HUNDRED SIXTY THREE ONLY</t>
  </si>
  <si>
    <t>AWB NO : 176-6507-5415</t>
  </si>
  <si>
    <t>S: AADISH IMPEX PRIVATE LIMITED</t>
  </si>
  <si>
    <t>INV NO-EXP/26-27/075 DT. 30-JULY-2026</t>
  </si>
  <si>
    <t>PKG: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</si>
</sst>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8" x14ac:knownFonts="1">
    <font>
      <sz val="12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2"/>
      <color theme="1"/>
      <name val="Aptos Narrow"/>
      <family val="2"/>
      <scheme val="minor"/>
    </font>
    <font>
      <b/>
      <sz val="9"/>
      <color rgb="FF000000"/>
      <name val="Arial"/>
      <family val="2"/>
    </font>
    <font>
      <b/>
      <sz val="26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Aptos Narrow"/>
      <family val="2"/>
      <scheme val="minor"/>
    </font>
    <font>
      <b/>
      <sz val="12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26">
    <xf numFmtId="0" fontId="0" fillId="0" borderId="0" xfId="0"/>
    <xf numFmtId="0" fontId="1" fillId="0" borderId="11" xfId="0" applyFont="1" applyBorder="1" applyAlignment="1">
      <alignment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 applyAlignment="1">
      <alignment vertical="center" wrapText="1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1" fillId="0" borderId="7" xfId="0" applyFont="1" applyBorder="1" applyAlignment="1">
      <alignment horizontal="center" vertical="top"/>
    </xf>
    <xf numFmtId="164" fontId="1" fillId="0" borderId="7" xfId="1" applyFont="1" applyBorder="1" applyAlignment="1">
      <alignment horizontal="center" vertical="top"/>
    </xf>
    <xf numFmtId="164" fontId="1" fillId="0" borderId="7" xfId="1" applyFont="1" applyBorder="1" applyAlignment="1">
      <alignment horizontal="right" vertical="top"/>
    </xf>
    <xf numFmtId="164" fontId="1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1" fillId="3" borderId="10" xfId="0" applyFont="1" applyFill="1" applyBorder="1" applyAlignment="1">
      <alignment horizontal="center" vertical="center"/>
    </xf>
    <xf numFmtId="0" fontId="1" fillId="0" borderId="3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3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4" xfId="0" applyFont="1" applyBorder="1" applyAlignment="1">
      <alignment horizontal="center" vertical="top"/>
    </xf>
    <xf numFmtId="164" fontId="1" fillId="0" borderId="4" xfId="1" applyFont="1" applyBorder="1" applyAlignment="1">
      <alignment horizontal="center" vertical="top"/>
    </xf>
    <xf numFmtId="0" fontId="1" fillId="0" borderId="4" xfId="0" applyFont="1" applyBorder="1" applyAlignment="1">
      <alignment horizontal="center" vertical="center"/>
    </xf>
    <xf numFmtId="0" fontId="7" fillId="3" borderId="9" xfId="0" applyFont="1" applyFill="1" applyBorder="1" applyAlignment="1">
      <alignment vertical="center"/>
    </xf>
    <xf numFmtId="0" fontId="7" fillId="3" borderId="10" xfId="0" applyFont="1" applyFill="1" applyBorder="1" applyAlignment="1">
      <alignment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20" xfId="0" applyFont="1" applyBorder="1" applyAlignment="1">
      <alignment horizontal="center"/>
    </xf>
    <xf numFmtId="0" fontId="4" fillId="2" borderId="23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19" xfId="0" applyFont="1" applyFill="1" applyBorder="1" applyAlignment="1">
      <alignment vertical="center"/>
    </xf>
    <xf numFmtId="0" fontId="5" fillId="2" borderId="18" xfId="0" applyFont="1" applyFill="1" applyBorder="1" applyAlignment="1">
      <alignment vertical="center"/>
    </xf>
    <xf numFmtId="0" fontId="5" fillId="2" borderId="25" xfId="0" applyFont="1" applyFill="1" applyBorder="1" applyAlignment="1">
      <alignment vertical="center"/>
    </xf>
    <xf numFmtId="0" fontId="4" fillId="3" borderId="28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0" borderId="9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6" fillId="3" borderId="30" xfId="0" applyFont="1" applyFill="1" applyBorder="1"/>
    <xf numFmtId="0" fontId="6" fillId="3" borderId="31" xfId="0" applyFont="1" applyFill="1" applyBorder="1"/>
    <xf numFmtId="0" fontId="6" fillId="3" borderId="32" xfId="0" applyFont="1" applyFill="1" applyBorder="1"/>
    <xf numFmtId="0" fontId="6" fillId="0" borderId="1" xfId="0" applyFont="1" applyBorder="1"/>
    <xf numFmtId="0" fontId="6" fillId="0" borderId="2" xfId="0" applyFont="1" applyBorder="1"/>
    <xf numFmtId="0" fontId="6" fillId="0" borderId="19" xfId="0" applyFont="1" applyBorder="1"/>
    <xf numFmtId="0" fontId="6" fillId="0" borderId="8" xfId="0" applyFont="1" applyBorder="1"/>
    <xf numFmtId="0" fontId="6" fillId="0" borderId="0" xfId="0" applyFont="1"/>
    <xf numFmtId="0" fontId="6" fillId="0" borderId="20" xfId="0" applyFont="1" applyBorder="1"/>
    <xf numFmtId="0" fontId="6" fillId="0" borderId="3" xfId="0" applyFont="1" applyBorder="1"/>
    <xf numFmtId="0" fontId="6" fillId="0" borderId="4" xfId="0" applyFont="1" applyBorder="1"/>
    <xf numFmtId="0" fontId="6" fillId="0" borderId="7" xfId="0" applyFont="1" applyBorder="1"/>
    <xf numFmtId="0" fontId="1" fillId="0" borderId="13" xfId="0" applyFont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top"/>
    </xf>
    <xf numFmtId="0" fontId="6" fillId="0" borderId="10" xfId="0" applyFont="1" applyBorder="1" applyAlignment="1">
      <alignment horizontal="left" vertical="top"/>
    </xf>
    <xf numFmtId="0" fontId="6" fillId="0" borderId="12" xfId="0" applyFont="1" applyBorder="1" applyAlignment="1">
      <alignment horizontal="left" vertical="top"/>
    </xf>
    <xf numFmtId="0" fontId="6" fillId="0" borderId="30" xfId="0" applyFont="1" applyBorder="1"/>
    <xf numFmtId="0" fontId="6" fillId="0" borderId="31" xfId="0" applyFont="1" applyBorder="1"/>
    <xf numFmtId="0" fontId="6" fillId="0" borderId="32" xfId="0" applyFont="1" applyBorder="1"/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82629</xdr:colOff>
      <xdr:row>0</xdr:row>
      <xdr:rowOff>55086</xdr:rowOff>
    </xdr:from>
    <xdr:to>
      <xdr:col>5</xdr:col>
      <xdr:colOff>1572920</xdr:colOff>
      <xdr:row>5</xdr:row>
      <xdr:rowOff>158677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A75154-35DA-4E21-8EBD-CB5408CB2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629" y="55086"/>
          <a:ext cx="7121471" cy="10941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82629</xdr:colOff>
      <xdr:row>0</xdr:row>
      <xdr:rowOff>55086</xdr:rowOff>
    </xdr:from>
    <xdr:to>
      <xdr:col>5</xdr:col>
      <xdr:colOff>1572920</xdr:colOff>
      <xdr:row>5</xdr:row>
      <xdr:rowOff>158677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2A29C2-8690-47D7-ADDB-825F6038E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629" y="55086"/>
          <a:ext cx="7121471" cy="109419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82629</xdr:colOff>
      <xdr:row>0</xdr:row>
      <xdr:rowOff>55086</xdr:rowOff>
    </xdr:from>
    <xdr:to>
      <xdr:col>5</xdr:col>
      <xdr:colOff>1572920</xdr:colOff>
      <xdr:row>5</xdr:row>
      <xdr:rowOff>158677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8ED569-0AB1-43C2-BC86-C2F9533C4A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629" y="55086"/>
          <a:ext cx="7121471" cy="109419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82629</xdr:colOff>
      <xdr:row>0</xdr:row>
      <xdr:rowOff>55086</xdr:rowOff>
    </xdr:from>
    <xdr:to>
      <xdr:col>5</xdr:col>
      <xdr:colOff>1572920</xdr:colOff>
      <xdr:row>5</xdr:row>
      <xdr:rowOff>158677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7C4302-9841-4B42-BF9D-752BD50CD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629" y="55086"/>
          <a:ext cx="7121471" cy="10941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B477A-6C08-49A4-A799-CD2F503B9A92}">
  <sheetPr>
    <pageSetUpPr fitToPage="1"/>
  </sheetPr>
  <dimension ref="A1:I48"/>
  <sheetViews>
    <sheetView zoomScale="83" zoomScaleNormal="83" workbookViewId="0">
      <selection activeCell="H9" sqref="H9"/>
    </sheetView>
  </sheetViews>
  <sheetFormatPr defaultColWidth="11.19921875" defaultRowHeight="15.6" x14ac:dyDescent="0.3"/>
  <cols>
    <col min="1" max="1" width="11.19921875" style="5"/>
    <col min="2" max="2" width="29.09765625" style="5" customWidth="1"/>
    <col min="3" max="5" width="11.19921875" style="5"/>
    <col min="6" max="6" width="21.796875" style="5" customWidth="1"/>
    <col min="7" max="16384" width="11.19921875" style="5"/>
  </cols>
  <sheetData>
    <row r="1" spans="1:7" x14ac:dyDescent="0.3">
      <c r="A1" s="35"/>
      <c r="B1" s="36"/>
      <c r="C1" s="36"/>
      <c r="D1" s="36"/>
      <c r="E1" s="36"/>
      <c r="F1" s="37"/>
    </row>
    <row r="2" spans="1:7" x14ac:dyDescent="0.3">
      <c r="A2" s="38"/>
      <c r="B2" s="39"/>
      <c r="C2" s="39"/>
      <c r="D2" s="39"/>
      <c r="E2" s="39"/>
      <c r="F2" s="40"/>
    </row>
    <row r="3" spans="1:7" x14ac:dyDescent="0.3">
      <c r="A3" s="38"/>
      <c r="B3" s="39"/>
      <c r="C3" s="39"/>
      <c r="D3" s="39"/>
      <c r="E3" s="39"/>
      <c r="F3" s="40"/>
    </row>
    <row r="4" spans="1:7" x14ac:dyDescent="0.3">
      <c r="A4" s="38"/>
      <c r="B4" s="39"/>
      <c r="C4" s="39"/>
      <c r="D4" s="39"/>
      <c r="E4" s="39"/>
      <c r="F4" s="40"/>
    </row>
    <row r="5" spans="1:7" x14ac:dyDescent="0.3">
      <c r="A5" s="38"/>
      <c r="B5" s="39"/>
      <c r="C5" s="39"/>
      <c r="D5" s="39"/>
      <c r="E5" s="39"/>
      <c r="F5" s="40"/>
    </row>
    <row r="6" spans="1:7" ht="16.2" thickBot="1" x14ac:dyDescent="0.35">
      <c r="A6" s="38"/>
      <c r="B6" s="39"/>
      <c r="C6" s="39"/>
      <c r="D6" s="39"/>
      <c r="E6" s="39"/>
      <c r="F6" s="40"/>
    </row>
    <row r="7" spans="1:7" x14ac:dyDescent="0.3">
      <c r="A7" s="41" t="s">
        <v>7</v>
      </c>
      <c r="B7" s="42"/>
      <c r="C7" s="42"/>
      <c r="D7" s="43"/>
      <c r="E7" s="47" t="s">
        <v>44</v>
      </c>
      <c r="F7" s="48"/>
      <c r="G7" s="6"/>
    </row>
    <row r="8" spans="1:7" x14ac:dyDescent="0.3">
      <c r="A8" s="44"/>
      <c r="B8" s="45"/>
      <c r="C8" s="45"/>
      <c r="D8" s="46"/>
      <c r="E8" s="49" t="s">
        <v>45</v>
      </c>
      <c r="F8" s="50"/>
      <c r="G8" s="6"/>
    </row>
    <row r="9" spans="1:7" ht="33" x14ac:dyDescent="0.3">
      <c r="A9" s="51"/>
      <c r="B9" s="52"/>
      <c r="C9" s="52"/>
      <c r="D9" s="52"/>
      <c r="E9" s="52"/>
      <c r="F9" s="53"/>
      <c r="G9" s="6"/>
    </row>
    <row r="10" spans="1:7" ht="16.2" thickBot="1" x14ac:dyDescent="0.35">
      <c r="A10" s="54" t="s">
        <v>8</v>
      </c>
      <c r="B10" s="55"/>
      <c r="C10" s="55"/>
      <c r="D10" s="55"/>
      <c r="E10" s="55"/>
      <c r="F10" s="56"/>
      <c r="G10" s="6"/>
    </row>
    <row r="11" spans="1:7" ht="28.2" customHeight="1" thickBot="1" x14ac:dyDescent="0.35">
      <c r="A11" s="57" t="s">
        <v>9</v>
      </c>
      <c r="B11" s="58"/>
      <c r="C11" s="58"/>
      <c r="D11" s="58"/>
      <c r="E11" s="58"/>
      <c r="F11" s="59"/>
      <c r="G11" s="6"/>
    </row>
    <row r="12" spans="1:7" ht="16.2" thickBot="1" x14ac:dyDescent="0.35">
      <c r="A12" s="7" t="s">
        <v>10</v>
      </c>
      <c r="B12" s="8"/>
      <c r="C12" s="8"/>
      <c r="D12" s="8"/>
      <c r="E12" s="8"/>
      <c r="F12" s="9"/>
      <c r="G12" s="6"/>
    </row>
    <row r="13" spans="1:7" ht="16.2" thickBot="1" x14ac:dyDescent="0.35">
      <c r="A13" s="60" t="s">
        <v>11</v>
      </c>
      <c r="B13" s="61"/>
      <c r="C13" s="61"/>
      <c r="D13" s="61"/>
      <c r="E13" s="61"/>
      <c r="F13" s="62"/>
      <c r="G13" s="6"/>
    </row>
    <row r="14" spans="1:7" x14ac:dyDescent="0.3">
      <c r="A14" s="63"/>
      <c r="B14" s="64"/>
      <c r="C14" s="64"/>
      <c r="D14" s="64"/>
      <c r="E14" s="64"/>
      <c r="F14" s="65"/>
      <c r="G14" s="6"/>
    </row>
    <row r="15" spans="1:7" ht="16.2" thickBot="1" x14ac:dyDescent="0.35">
      <c r="A15" s="66"/>
      <c r="B15" s="67"/>
      <c r="C15" s="67"/>
      <c r="D15" s="67"/>
      <c r="E15" s="67"/>
      <c r="F15" s="68"/>
      <c r="G15" s="6"/>
    </row>
    <row r="16" spans="1:7" ht="16.2" thickBot="1" x14ac:dyDescent="0.35">
      <c r="A16" s="60" t="s">
        <v>20</v>
      </c>
      <c r="B16" s="61"/>
      <c r="C16" s="61"/>
      <c r="D16" s="61"/>
      <c r="E16" s="61"/>
      <c r="F16" s="62"/>
      <c r="G16" s="6"/>
    </row>
    <row r="17" spans="1:7" ht="16.2" thickBot="1" x14ac:dyDescent="0.35">
      <c r="A17" s="69" t="s">
        <v>19</v>
      </c>
      <c r="B17" s="70"/>
      <c r="C17" s="70"/>
      <c r="D17" s="70"/>
      <c r="E17" s="70"/>
      <c r="F17" s="71"/>
      <c r="G17" s="6"/>
    </row>
    <row r="18" spans="1:7" ht="16.2" thickBot="1" x14ac:dyDescent="0.35">
      <c r="A18" s="32"/>
      <c r="B18" s="33"/>
      <c r="C18" s="33"/>
      <c r="D18" s="33"/>
      <c r="E18" s="33"/>
      <c r="F18" s="34"/>
      <c r="G18" s="6"/>
    </row>
    <row r="19" spans="1:7" ht="16.2" thickBot="1" x14ac:dyDescent="0.35">
      <c r="A19" s="60" t="s">
        <v>30</v>
      </c>
      <c r="B19" s="61"/>
      <c r="C19" s="62"/>
      <c r="D19" s="60"/>
      <c r="E19" s="61"/>
      <c r="F19" s="62"/>
      <c r="G19" s="6"/>
    </row>
    <row r="20" spans="1:7" ht="16.2" thickBot="1" x14ac:dyDescent="0.35">
      <c r="A20" s="60" t="s">
        <v>33</v>
      </c>
      <c r="B20" s="61"/>
      <c r="C20" s="62"/>
      <c r="D20" s="60"/>
      <c r="E20" s="61"/>
      <c r="F20" s="62"/>
      <c r="G20" s="6"/>
    </row>
    <row r="21" spans="1:7" ht="49.8" customHeight="1" thickBot="1" x14ac:dyDescent="0.35">
      <c r="A21" s="57" t="s">
        <v>34</v>
      </c>
      <c r="B21" s="58"/>
      <c r="C21" s="59"/>
      <c r="D21" s="72" t="s">
        <v>37</v>
      </c>
      <c r="E21" s="73"/>
      <c r="F21" s="74"/>
      <c r="G21" s="6"/>
    </row>
    <row r="22" spans="1:7" ht="16.2" thickBot="1" x14ac:dyDescent="0.35">
      <c r="A22" s="60" t="s">
        <v>35</v>
      </c>
      <c r="B22" s="61"/>
      <c r="C22" s="62"/>
      <c r="D22" s="75"/>
      <c r="E22" s="76"/>
      <c r="F22" s="77"/>
      <c r="G22" s="6"/>
    </row>
    <row r="23" spans="1:7" ht="16.2" thickBot="1" x14ac:dyDescent="0.35">
      <c r="A23" s="60" t="s">
        <v>36</v>
      </c>
      <c r="B23" s="61"/>
      <c r="C23" s="62"/>
      <c r="D23" s="81"/>
      <c r="E23" s="82"/>
      <c r="F23" s="83"/>
      <c r="G23" s="6"/>
    </row>
    <row r="24" spans="1:7" ht="16.2" thickBot="1" x14ac:dyDescent="0.35">
      <c r="A24" s="63"/>
      <c r="B24" s="64"/>
      <c r="C24" s="65"/>
      <c r="D24" s="84"/>
      <c r="E24" s="85"/>
      <c r="F24" s="86"/>
      <c r="G24" s="6"/>
    </row>
    <row r="25" spans="1:7" x14ac:dyDescent="0.3">
      <c r="A25" s="87"/>
      <c r="B25" s="88"/>
      <c r="C25" s="89"/>
      <c r="D25" s="63"/>
      <c r="E25" s="64"/>
      <c r="F25" s="65"/>
      <c r="G25" s="6"/>
    </row>
    <row r="26" spans="1:7" ht="16.2" thickBot="1" x14ac:dyDescent="0.35">
      <c r="A26" s="66"/>
      <c r="B26" s="67"/>
      <c r="C26" s="68"/>
      <c r="D26" s="66"/>
      <c r="E26" s="67"/>
      <c r="F26" s="68"/>
      <c r="G26" s="6"/>
    </row>
    <row r="27" spans="1:7" ht="16.2" thickBot="1" x14ac:dyDescent="0.35">
      <c r="A27" s="32"/>
      <c r="B27" s="33"/>
      <c r="C27" s="33"/>
      <c r="D27" s="33"/>
      <c r="E27" s="33"/>
      <c r="F27" s="34"/>
      <c r="G27" s="6"/>
    </row>
    <row r="28" spans="1:7" ht="16.2" thickBot="1" x14ac:dyDescent="0.35">
      <c r="A28" s="2" t="s">
        <v>0</v>
      </c>
      <c r="B28" s="3" t="s">
        <v>1</v>
      </c>
      <c r="C28" s="4"/>
      <c r="D28" s="4" t="s">
        <v>2</v>
      </c>
      <c r="E28" s="4" t="s">
        <v>26</v>
      </c>
      <c r="F28" s="4" t="s">
        <v>17</v>
      </c>
      <c r="G28" s="6"/>
    </row>
    <row r="29" spans="1:7" ht="16.2" thickBot="1" x14ac:dyDescent="0.35">
      <c r="A29" s="10">
        <v>1</v>
      </c>
      <c r="B29" s="11" t="s">
        <v>38</v>
      </c>
      <c r="C29" s="12"/>
      <c r="D29" s="12">
        <v>996713</v>
      </c>
      <c r="E29" s="13"/>
      <c r="F29" s="14">
        <v>1200</v>
      </c>
      <c r="G29" s="6"/>
    </row>
    <row r="30" spans="1:7" ht="16.2" thickBot="1" x14ac:dyDescent="0.35">
      <c r="A30" s="10"/>
      <c r="B30" s="19"/>
      <c r="C30" s="19"/>
      <c r="D30" s="19"/>
      <c r="E30" s="1"/>
      <c r="F30" s="15"/>
      <c r="G30" s="6"/>
    </row>
    <row r="31" spans="1:7" ht="16.2" thickBot="1" x14ac:dyDescent="0.35">
      <c r="A31" s="10">
        <v>2</v>
      </c>
      <c r="B31" s="20" t="s">
        <v>28</v>
      </c>
      <c r="C31" s="19"/>
      <c r="D31" s="12">
        <v>996713</v>
      </c>
      <c r="E31" s="1"/>
      <c r="F31" s="15">
        <v>800</v>
      </c>
      <c r="G31" s="6"/>
    </row>
    <row r="32" spans="1:7" ht="16.2" thickBot="1" x14ac:dyDescent="0.35">
      <c r="A32" s="10"/>
      <c r="B32" s="16" t="s">
        <v>46</v>
      </c>
      <c r="C32" s="20"/>
      <c r="D32" s="19"/>
      <c r="E32" s="1"/>
      <c r="F32" s="15"/>
      <c r="G32" s="6"/>
    </row>
    <row r="33" spans="1:9" ht="16.2" thickBot="1" x14ac:dyDescent="0.35">
      <c r="A33" s="10"/>
      <c r="B33" s="16"/>
      <c r="C33" s="12"/>
      <c r="D33" s="19"/>
      <c r="E33" s="1"/>
      <c r="F33" s="15"/>
      <c r="G33" s="6"/>
    </row>
    <row r="34" spans="1:9" ht="16.2" thickBot="1" x14ac:dyDescent="0.35">
      <c r="A34" s="10"/>
      <c r="B34" s="91"/>
      <c r="C34" s="92"/>
      <c r="D34" s="19"/>
      <c r="E34" s="19"/>
      <c r="F34" s="15"/>
      <c r="G34" s="6"/>
      <c r="I34" s="19"/>
    </row>
    <row r="35" spans="1:9" ht="16.2" thickBot="1" x14ac:dyDescent="0.35">
      <c r="A35" s="21"/>
      <c r="B35" s="22"/>
      <c r="C35" s="33"/>
      <c r="D35" s="34"/>
      <c r="E35" s="19" t="s">
        <v>21</v>
      </c>
      <c r="F35" s="15">
        <v>180</v>
      </c>
      <c r="G35" s="6"/>
    </row>
    <row r="36" spans="1:9" ht="16.2" thickBot="1" x14ac:dyDescent="0.35">
      <c r="A36" s="60"/>
      <c r="B36" s="61"/>
      <c r="C36" s="90"/>
      <c r="D36" s="18"/>
      <c r="E36" s="19" t="s">
        <v>21</v>
      </c>
      <c r="F36" s="15">
        <v>180</v>
      </c>
      <c r="G36" s="6"/>
    </row>
    <row r="37" spans="1:9" ht="16.2" thickBot="1" x14ac:dyDescent="0.35">
      <c r="A37" s="78"/>
      <c r="B37" s="79"/>
      <c r="C37" s="80"/>
      <c r="D37" s="18"/>
      <c r="E37" s="19"/>
      <c r="F37" s="15"/>
      <c r="G37" s="6"/>
    </row>
    <row r="38" spans="1:9" ht="16.2" thickBot="1" x14ac:dyDescent="0.35">
      <c r="A38" s="78"/>
      <c r="B38" s="79"/>
      <c r="C38" s="80"/>
      <c r="D38" s="18"/>
      <c r="E38" s="19" t="s">
        <v>16</v>
      </c>
      <c r="F38" s="15">
        <f>F29+F31+F35+F36</f>
        <v>2360</v>
      </c>
      <c r="G38" s="6"/>
    </row>
    <row r="39" spans="1:9" ht="16.2" thickBot="1" x14ac:dyDescent="0.35">
      <c r="A39" s="117"/>
      <c r="B39" s="118"/>
      <c r="C39" s="118"/>
      <c r="D39" s="118"/>
      <c r="E39" s="118"/>
      <c r="F39" s="119"/>
      <c r="G39" s="6"/>
    </row>
    <row r="40" spans="1:9" ht="16.2" thickBot="1" x14ac:dyDescent="0.35">
      <c r="A40" s="78"/>
      <c r="B40" s="79"/>
      <c r="C40" s="80"/>
      <c r="D40" s="105" t="s">
        <v>18</v>
      </c>
      <c r="E40" s="90"/>
      <c r="F40" s="15">
        <v>2360</v>
      </c>
      <c r="G40" s="6"/>
    </row>
    <row r="41" spans="1:9" ht="16.2" thickBot="1" x14ac:dyDescent="0.35">
      <c r="A41" s="106"/>
      <c r="B41" s="107"/>
      <c r="C41" s="107"/>
      <c r="D41" s="107"/>
      <c r="E41" s="107"/>
      <c r="F41" s="108"/>
      <c r="G41" s="6"/>
    </row>
    <row r="42" spans="1:9" ht="16.2" thickBot="1" x14ac:dyDescent="0.35">
      <c r="A42" s="112" t="s">
        <v>39</v>
      </c>
      <c r="B42" s="113"/>
      <c r="C42" s="113"/>
      <c r="D42" s="113"/>
      <c r="E42" s="113"/>
      <c r="F42" s="114"/>
      <c r="G42" s="6"/>
    </row>
    <row r="43" spans="1:9" ht="16.2" thickBot="1" x14ac:dyDescent="0.35">
      <c r="A43" s="93"/>
      <c r="B43" s="94"/>
      <c r="C43" s="94"/>
      <c r="D43" s="94"/>
      <c r="E43" s="94"/>
      <c r="F43" s="95"/>
    </row>
    <row r="44" spans="1:9" ht="16.2" thickBot="1" x14ac:dyDescent="0.35">
      <c r="A44" s="109" t="s">
        <v>29</v>
      </c>
      <c r="B44" s="110"/>
      <c r="C44" s="111"/>
      <c r="D44" s="96" t="s">
        <v>4</v>
      </c>
      <c r="E44" s="97"/>
      <c r="F44" s="98"/>
    </row>
    <row r="45" spans="1:9" ht="16.2" thickBot="1" x14ac:dyDescent="0.35">
      <c r="A45" s="109" t="s">
        <v>40</v>
      </c>
      <c r="B45" s="110"/>
      <c r="C45" s="111"/>
      <c r="D45" s="99"/>
      <c r="E45" s="100"/>
      <c r="F45" s="101"/>
    </row>
    <row r="46" spans="1:9" ht="16.2" thickBot="1" x14ac:dyDescent="0.35">
      <c r="A46" s="109" t="s">
        <v>41</v>
      </c>
      <c r="B46" s="110"/>
      <c r="C46" s="111"/>
      <c r="D46" s="99"/>
      <c r="E46" s="100"/>
      <c r="F46" s="101"/>
    </row>
    <row r="47" spans="1:9" ht="16.2" thickBot="1" x14ac:dyDescent="0.35">
      <c r="A47" s="109" t="s">
        <v>42</v>
      </c>
      <c r="B47" s="110"/>
      <c r="C47" s="111"/>
      <c r="D47" s="99"/>
      <c r="E47" s="100"/>
      <c r="F47" s="101"/>
    </row>
    <row r="48" spans="1:9" ht="16.2" thickBot="1" x14ac:dyDescent="0.35">
      <c r="A48" s="109" t="s">
        <v>43</v>
      </c>
      <c r="B48" s="110"/>
      <c r="C48" s="111"/>
      <c r="D48" s="102"/>
      <c r="E48" s="103"/>
      <c r="F48" s="104"/>
    </row>
  </sheetData>
  <mergeCells count="41">
    <mergeCell ref="A18:F18"/>
    <mergeCell ref="A1:F6"/>
    <mergeCell ref="A7:D8"/>
    <mergeCell ref="E7:F7"/>
    <mergeCell ref="E8:F8"/>
    <mergeCell ref="A9:F9"/>
    <mergeCell ref="A10:F10"/>
    <mergeCell ref="A11:F11"/>
    <mergeCell ref="A13:F13"/>
    <mergeCell ref="A14:F15"/>
    <mergeCell ref="A16:F16"/>
    <mergeCell ref="A17:F17"/>
    <mergeCell ref="A19:C19"/>
    <mergeCell ref="D19:F19"/>
    <mergeCell ref="A20:C20"/>
    <mergeCell ref="D20:F20"/>
    <mergeCell ref="A21:C21"/>
    <mergeCell ref="D21:F22"/>
    <mergeCell ref="A22:C22"/>
    <mergeCell ref="A40:C40"/>
    <mergeCell ref="D40:E40"/>
    <mergeCell ref="A23:C23"/>
    <mergeCell ref="D23:F24"/>
    <mergeCell ref="A24:C26"/>
    <mergeCell ref="D25:F26"/>
    <mergeCell ref="A27:F27"/>
    <mergeCell ref="B34:C34"/>
    <mergeCell ref="C35:D35"/>
    <mergeCell ref="A36:C36"/>
    <mergeCell ref="A37:C37"/>
    <mergeCell ref="A38:C38"/>
    <mergeCell ref="A39:F39"/>
    <mergeCell ref="A41:F41"/>
    <mergeCell ref="A42:F42"/>
    <mergeCell ref="A43:F43"/>
    <mergeCell ref="A44:C44"/>
    <mergeCell ref="D44:F48"/>
    <mergeCell ref="A45:C45"/>
    <mergeCell ref="A46:C46"/>
    <mergeCell ref="A47:C47"/>
    <mergeCell ref="A48:C48"/>
  </mergeCells>
  <pageMargins left="0.7" right="0.7" top="0.75" bottom="0.75" header="0.3" footer="0.3"/>
  <pageSetup paperSize="9" scale="83" orientation="portrait" r:id="rId1"/>
  <colBreaks count="1" manualBreakCount="1">
    <brk id="6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49CE1-B281-46A0-91AE-021AE1D6410F}">
  <sheetPr>
    <pageSetUpPr fitToPage="1"/>
  </sheetPr>
  <dimension ref="A1:I48"/>
  <sheetViews>
    <sheetView zoomScale="83" zoomScaleNormal="83" workbookViewId="0">
      <selection activeCell="J8" sqref="J8"/>
    </sheetView>
  </sheetViews>
  <sheetFormatPr defaultColWidth="11.19921875" defaultRowHeight="15.6" x14ac:dyDescent="0.3"/>
  <cols>
    <col min="1" max="1" width="11.19921875" style="5"/>
    <col min="2" max="2" width="29.09765625" style="5" customWidth="1"/>
    <col min="3" max="5" width="11.19921875" style="5"/>
    <col min="6" max="6" width="21.796875" style="5" customWidth="1"/>
    <col min="7" max="16384" width="11.19921875" style="5"/>
  </cols>
  <sheetData>
    <row r="1" spans="1:7" x14ac:dyDescent="0.3">
      <c r="A1" s="35"/>
      <c r="B1" s="36"/>
      <c r="C1" s="36"/>
      <c r="D1" s="36"/>
      <c r="E1" s="36"/>
      <c r="F1" s="37"/>
    </row>
    <row r="2" spans="1:7" x14ac:dyDescent="0.3">
      <c r="A2" s="38"/>
      <c r="B2" s="39"/>
      <c r="C2" s="39"/>
      <c r="D2" s="39"/>
      <c r="E2" s="39"/>
      <c r="F2" s="40"/>
    </row>
    <row r="3" spans="1:7" x14ac:dyDescent="0.3">
      <c r="A3" s="38"/>
      <c r="B3" s="39"/>
      <c r="C3" s="39"/>
      <c r="D3" s="39"/>
      <c r="E3" s="39"/>
      <c r="F3" s="40"/>
    </row>
    <row r="4" spans="1:7" x14ac:dyDescent="0.3">
      <c r="A4" s="38"/>
      <c r="B4" s="39"/>
      <c r="C4" s="39"/>
      <c r="D4" s="39"/>
      <c r="E4" s="39"/>
      <c r="F4" s="40"/>
    </row>
    <row r="5" spans="1:7" x14ac:dyDescent="0.3">
      <c r="A5" s="38"/>
      <c r="B5" s="39"/>
      <c r="C5" s="39"/>
      <c r="D5" s="39"/>
      <c r="E5" s="39"/>
      <c r="F5" s="40"/>
    </row>
    <row r="6" spans="1:7" ht="16.2" thickBot="1" x14ac:dyDescent="0.35">
      <c r="A6" s="38"/>
      <c r="B6" s="39"/>
      <c r="C6" s="39"/>
      <c r="D6" s="39"/>
      <c r="E6" s="39"/>
      <c r="F6" s="40"/>
    </row>
    <row r="7" spans="1:7" x14ac:dyDescent="0.3">
      <c r="A7" s="41" t="s">
        <v>7</v>
      </c>
      <c r="B7" s="42"/>
      <c r="C7" s="42"/>
      <c r="D7" s="43"/>
      <c r="E7" s="47" t="s">
        <v>64</v>
      </c>
      <c r="F7" s="48"/>
      <c r="G7" s="6"/>
    </row>
    <row r="8" spans="1:7" x14ac:dyDescent="0.3">
      <c r="A8" s="44"/>
      <c r="B8" s="45"/>
      <c r="C8" s="45"/>
      <c r="D8" s="46"/>
      <c r="E8" s="49" t="s">
        <v>65</v>
      </c>
      <c r="F8" s="50"/>
      <c r="G8" s="6"/>
    </row>
    <row r="9" spans="1:7" ht="33" x14ac:dyDescent="0.3">
      <c r="A9" s="51"/>
      <c r="B9" s="52"/>
      <c r="C9" s="52"/>
      <c r="D9" s="52"/>
      <c r="E9" s="52"/>
      <c r="F9" s="53"/>
      <c r="G9" s="6"/>
    </row>
    <row r="10" spans="1:7" ht="16.2" thickBot="1" x14ac:dyDescent="0.35">
      <c r="A10" s="54" t="s">
        <v>8</v>
      </c>
      <c r="B10" s="55"/>
      <c r="C10" s="55"/>
      <c r="D10" s="55"/>
      <c r="E10" s="55"/>
      <c r="F10" s="56"/>
      <c r="G10" s="6"/>
    </row>
    <row r="11" spans="1:7" ht="28.2" customHeight="1" thickBot="1" x14ac:dyDescent="0.35">
      <c r="A11" s="57" t="s">
        <v>9</v>
      </c>
      <c r="B11" s="58"/>
      <c r="C11" s="58"/>
      <c r="D11" s="58"/>
      <c r="E11" s="58"/>
      <c r="F11" s="59"/>
      <c r="G11" s="6"/>
    </row>
    <row r="12" spans="1:7" ht="16.2" thickBot="1" x14ac:dyDescent="0.35">
      <c r="A12" s="7" t="s">
        <v>10</v>
      </c>
      <c r="B12" s="8"/>
      <c r="C12" s="8"/>
      <c r="D12" s="8"/>
      <c r="E12" s="8"/>
      <c r="F12" s="9"/>
      <c r="G12" s="6"/>
    </row>
    <row r="13" spans="1:7" ht="16.2" thickBot="1" x14ac:dyDescent="0.35">
      <c r="A13" s="60" t="s">
        <v>11</v>
      </c>
      <c r="B13" s="61"/>
      <c r="C13" s="61"/>
      <c r="D13" s="61"/>
      <c r="E13" s="61"/>
      <c r="F13" s="62"/>
      <c r="G13" s="6"/>
    </row>
    <row r="14" spans="1:7" x14ac:dyDescent="0.3">
      <c r="A14" s="63"/>
      <c r="B14" s="64"/>
      <c r="C14" s="64"/>
      <c r="D14" s="64"/>
      <c r="E14" s="64"/>
      <c r="F14" s="65"/>
      <c r="G14" s="6"/>
    </row>
    <row r="15" spans="1:7" ht="16.2" thickBot="1" x14ac:dyDescent="0.35">
      <c r="A15" s="66"/>
      <c r="B15" s="67"/>
      <c r="C15" s="67"/>
      <c r="D15" s="67"/>
      <c r="E15" s="67"/>
      <c r="F15" s="68"/>
      <c r="G15" s="6"/>
    </row>
    <row r="16" spans="1:7" ht="16.2" thickBot="1" x14ac:dyDescent="0.35">
      <c r="A16" s="60" t="s">
        <v>20</v>
      </c>
      <c r="B16" s="61"/>
      <c r="C16" s="61"/>
      <c r="D16" s="61"/>
      <c r="E16" s="61"/>
      <c r="F16" s="62"/>
      <c r="G16" s="6"/>
    </row>
    <row r="17" spans="1:7" ht="16.2" thickBot="1" x14ac:dyDescent="0.35">
      <c r="A17" s="69" t="s">
        <v>19</v>
      </c>
      <c r="B17" s="70"/>
      <c r="C17" s="70"/>
      <c r="D17" s="70"/>
      <c r="E17" s="70"/>
      <c r="F17" s="71"/>
      <c r="G17" s="6"/>
    </row>
    <row r="18" spans="1:7" ht="16.2" thickBot="1" x14ac:dyDescent="0.35">
      <c r="A18" s="32"/>
      <c r="B18" s="33"/>
      <c r="C18" s="33"/>
      <c r="D18" s="33"/>
      <c r="E18" s="33"/>
      <c r="F18" s="34"/>
      <c r="G18" s="6"/>
    </row>
    <row r="19" spans="1:7" ht="16.2" thickBot="1" x14ac:dyDescent="0.35">
      <c r="A19" s="60" t="s">
        <v>30</v>
      </c>
      <c r="B19" s="61"/>
      <c r="C19" s="62"/>
      <c r="D19" s="60" t="s">
        <v>15</v>
      </c>
      <c r="E19" s="61"/>
      <c r="F19" s="62"/>
      <c r="G19" s="6"/>
    </row>
    <row r="20" spans="1:7" ht="16.2" customHeight="1" thickBot="1" x14ac:dyDescent="0.35">
      <c r="A20" s="60" t="s">
        <v>12</v>
      </c>
      <c r="B20" s="61"/>
      <c r="C20" s="62"/>
      <c r="D20" s="60" t="s">
        <v>56</v>
      </c>
      <c r="E20" s="61"/>
      <c r="F20" s="62"/>
      <c r="G20" s="6"/>
    </row>
    <row r="21" spans="1:7" ht="49.8" customHeight="1" thickBot="1" x14ac:dyDescent="0.35">
      <c r="A21" s="57" t="s">
        <v>13</v>
      </c>
      <c r="B21" s="58"/>
      <c r="C21" s="59"/>
      <c r="D21" s="81" t="s">
        <v>57</v>
      </c>
      <c r="E21" s="82"/>
      <c r="F21" s="83"/>
      <c r="G21" s="6"/>
    </row>
    <row r="22" spans="1:7" ht="16.2" thickBot="1" x14ac:dyDescent="0.35">
      <c r="A22" s="60" t="s">
        <v>14</v>
      </c>
      <c r="B22" s="61"/>
      <c r="C22" s="62"/>
      <c r="D22" s="84"/>
      <c r="E22" s="85"/>
      <c r="F22" s="86"/>
      <c r="G22" s="6"/>
    </row>
    <row r="23" spans="1:7" ht="16.2" thickBot="1" x14ac:dyDescent="0.35">
      <c r="A23" s="60" t="s">
        <v>6</v>
      </c>
      <c r="B23" s="61"/>
      <c r="C23" s="62"/>
      <c r="D23" s="81" t="s">
        <v>58</v>
      </c>
      <c r="E23" s="82"/>
      <c r="F23" s="83"/>
      <c r="G23" s="6"/>
    </row>
    <row r="24" spans="1:7" ht="16.2" thickBot="1" x14ac:dyDescent="0.35">
      <c r="A24" s="63"/>
      <c r="B24" s="64"/>
      <c r="C24" s="65"/>
      <c r="D24" s="84"/>
      <c r="E24" s="85"/>
      <c r="F24" s="86"/>
      <c r="G24" s="6"/>
    </row>
    <row r="25" spans="1:7" x14ac:dyDescent="0.3">
      <c r="A25" s="87"/>
      <c r="B25" s="88"/>
      <c r="C25" s="89"/>
      <c r="D25" s="63"/>
      <c r="E25" s="64"/>
      <c r="F25" s="65"/>
      <c r="G25" s="6"/>
    </row>
    <row r="26" spans="1:7" ht="16.2" thickBot="1" x14ac:dyDescent="0.35">
      <c r="A26" s="66"/>
      <c r="B26" s="67"/>
      <c r="C26" s="68"/>
      <c r="D26" s="66"/>
      <c r="E26" s="67"/>
      <c r="F26" s="68"/>
      <c r="G26" s="6"/>
    </row>
    <row r="27" spans="1:7" ht="16.2" thickBot="1" x14ac:dyDescent="0.35">
      <c r="A27" s="32"/>
      <c r="B27" s="33"/>
      <c r="C27" s="33"/>
      <c r="D27" s="33"/>
      <c r="E27" s="33"/>
      <c r="F27" s="34"/>
      <c r="G27" s="6"/>
    </row>
    <row r="28" spans="1:7" ht="16.2" thickBot="1" x14ac:dyDescent="0.35">
      <c r="A28" s="2" t="s">
        <v>0</v>
      </c>
      <c r="B28" s="3" t="s">
        <v>1</v>
      </c>
      <c r="C28" s="4" t="s">
        <v>2</v>
      </c>
      <c r="D28" s="4" t="s">
        <v>61</v>
      </c>
      <c r="E28" s="4" t="s">
        <v>26</v>
      </c>
      <c r="F28" s="4" t="s">
        <v>17</v>
      </c>
      <c r="G28" s="6"/>
    </row>
    <row r="29" spans="1:7" ht="16.2" thickBot="1" x14ac:dyDescent="0.35">
      <c r="A29" s="10">
        <v>1</v>
      </c>
      <c r="B29" s="11" t="s">
        <v>59</v>
      </c>
      <c r="C29" s="12">
        <v>39233090</v>
      </c>
      <c r="D29" s="12">
        <v>50</v>
      </c>
      <c r="E29" s="13">
        <v>600</v>
      </c>
      <c r="F29" s="14">
        <f>600*50</f>
        <v>30000</v>
      </c>
      <c r="G29" s="6"/>
    </row>
    <row r="30" spans="1:7" ht="16.2" thickBot="1" x14ac:dyDescent="0.35">
      <c r="A30" s="10"/>
      <c r="B30" s="19" t="s">
        <v>60</v>
      </c>
      <c r="C30" s="19"/>
      <c r="D30" s="19"/>
      <c r="E30" s="1"/>
      <c r="F30" s="15"/>
      <c r="G30" s="6"/>
    </row>
    <row r="31" spans="1:7" ht="16.2" thickBot="1" x14ac:dyDescent="0.35">
      <c r="A31" s="10"/>
      <c r="B31" s="20"/>
      <c r="C31" s="19"/>
      <c r="D31" s="12"/>
      <c r="E31" s="1"/>
      <c r="F31" s="15"/>
      <c r="G31" s="6"/>
    </row>
    <row r="32" spans="1:7" ht="16.2" thickBot="1" x14ac:dyDescent="0.35">
      <c r="A32" s="10">
        <v>2</v>
      </c>
      <c r="B32" s="16" t="s">
        <v>62</v>
      </c>
      <c r="C32" s="29">
        <v>996791</v>
      </c>
      <c r="D32" s="24">
        <v>1</v>
      </c>
      <c r="E32" s="13">
        <v>2800</v>
      </c>
      <c r="F32" s="15">
        <v>2800</v>
      </c>
      <c r="G32" s="6"/>
    </row>
    <row r="33" spans="1:9" ht="16.2" thickBot="1" x14ac:dyDescent="0.35">
      <c r="A33" s="10"/>
      <c r="B33" s="16"/>
      <c r="C33" s="12"/>
      <c r="D33" s="19"/>
      <c r="E33" s="1"/>
      <c r="F33" s="15"/>
      <c r="G33" s="6"/>
    </row>
    <row r="34" spans="1:9" ht="16.2" thickBot="1" x14ac:dyDescent="0.35">
      <c r="A34" s="10"/>
      <c r="B34" s="91"/>
      <c r="C34" s="92"/>
      <c r="D34" s="19"/>
      <c r="E34" s="19"/>
      <c r="F34" s="15"/>
      <c r="G34" s="6"/>
      <c r="I34" s="19"/>
    </row>
    <row r="35" spans="1:9" ht="16.2" thickBot="1" x14ac:dyDescent="0.35">
      <c r="A35" s="21"/>
      <c r="B35" s="22"/>
      <c r="C35" s="33"/>
      <c r="D35" s="34"/>
      <c r="E35" s="19" t="s">
        <v>21</v>
      </c>
      <c r="F35" s="15">
        <v>2952</v>
      </c>
      <c r="G35" s="6"/>
    </row>
    <row r="36" spans="1:9" ht="16.2" thickBot="1" x14ac:dyDescent="0.35">
      <c r="A36" s="60"/>
      <c r="B36" s="61"/>
      <c r="C36" s="90"/>
      <c r="D36" s="18"/>
      <c r="E36" s="19" t="s">
        <v>21</v>
      </c>
      <c r="F36" s="15">
        <v>2952</v>
      </c>
      <c r="G36" s="6"/>
    </row>
    <row r="37" spans="1:9" ht="16.2" thickBot="1" x14ac:dyDescent="0.35">
      <c r="A37" s="78"/>
      <c r="B37" s="79"/>
      <c r="C37" s="80"/>
      <c r="D37" s="18"/>
      <c r="E37" s="19"/>
      <c r="F37" s="15"/>
      <c r="G37" s="6"/>
    </row>
    <row r="38" spans="1:9" ht="16.2" thickBot="1" x14ac:dyDescent="0.35">
      <c r="A38" s="78"/>
      <c r="B38" s="79"/>
      <c r="C38" s="80"/>
      <c r="D38" s="18"/>
      <c r="E38" s="19" t="s">
        <v>16</v>
      </c>
      <c r="F38" s="15">
        <f>F29+F32+F35+F36</f>
        <v>38704</v>
      </c>
      <c r="G38" s="6"/>
    </row>
    <row r="39" spans="1:9" ht="16.2" thickBot="1" x14ac:dyDescent="0.35">
      <c r="A39" s="117"/>
      <c r="B39" s="118"/>
      <c r="C39" s="118"/>
      <c r="D39" s="118"/>
      <c r="E39" s="118"/>
      <c r="F39" s="119"/>
      <c r="G39" s="6"/>
    </row>
    <row r="40" spans="1:9" ht="16.2" thickBot="1" x14ac:dyDescent="0.35">
      <c r="A40" s="78"/>
      <c r="B40" s="79"/>
      <c r="C40" s="80"/>
      <c r="D40" s="105" t="s">
        <v>18</v>
      </c>
      <c r="E40" s="90"/>
      <c r="F40" s="15">
        <v>38704</v>
      </c>
      <c r="G40" s="6"/>
    </row>
    <row r="41" spans="1:9" ht="16.2" thickBot="1" x14ac:dyDescent="0.35">
      <c r="A41" s="106"/>
      <c r="B41" s="107"/>
      <c r="C41" s="107"/>
      <c r="D41" s="107"/>
      <c r="E41" s="107"/>
      <c r="F41" s="108"/>
      <c r="G41" s="6"/>
    </row>
    <row r="42" spans="1:9" ht="16.2" thickBot="1" x14ac:dyDescent="0.35">
      <c r="A42" s="112" t="s">
        <v>63</v>
      </c>
      <c r="B42" s="113"/>
      <c r="C42" s="113"/>
      <c r="D42" s="113"/>
      <c r="E42" s="113"/>
      <c r="F42" s="114"/>
      <c r="G42" s="6"/>
    </row>
    <row r="43" spans="1:9" ht="16.2" thickBot="1" x14ac:dyDescent="0.35">
      <c r="A43" s="93"/>
      <c r="B43" s="94"/>
      <c r="C43" s="94"/>
      <c r="D43" s="94"/>
      <c r="E43" s="94"/>
      <c r="F43" s="95"/>
    </row>
    <row r="44" spans="1:9" ht="16.2" thickBot="1" x14ac:dyDescent="0.35">
      <c r="A44" s="109" t="s">
        <v>29</v>
      </c>
      <c r="B44" s="110"/>
      <c r="C44" s="111"/>
      <c r="D44" s="96" t="s">
        <v>4</v>
      </c>
      <c r="E44" s="97"/>
      <c r="F44" s="98"/>
    </row>
    <row r="45" spans="1:9" ht="16.2" thickBot="1" x14ac:dyDescent="0.35">
      <c r="A45" s="109"/>
      <c r="B45" s="110"/>
      <c r="C45" s="111"/>
      <c r="D45" s="99"/>
      <c r="E45" s="100"/>
      <c r="F45" s="101"/>
    </row>
    <row r="46" spans="1:9" ht="16.2" thickBot="1" x14ac:dyDescent="0.35">
      <c r="A46" s="109"/>
      <c r="B46" s="110"/>
      <c r="C46" s="111"/>
      <c r="D46" s="99"/>
      <c r="E46" s="100"/>
      <c r="F46" s="101"/>
    </row>
    <row r="47" spans="1:9" ht="16.2" thickBot="1" x14ac:dyDescent="0.35">
      <c r="A47" s="109"/>
      <c r="B47" s="110"/>
      <c r="C47" s="111"/>
      <c r="D47" s="99"/>
      <c r="E47" s="100"/>
      <c r="F47" s="101"/>
    </row>
    <row r="48" spans="1:9" ht="16.2" thickBot="1" x14ac:dyDescent="0.35">
      <c r="A48" s="109"/>
      <c r="B48" s="110"/>
      <c r="C48" s="111"/>
      <c r="D48" s="102"/>
      <c r="E48" s="103"/>
      <c r="F48" s="104"/>
    </row>
  </sheetData>
  <mergeCells count="41">
    <mergeCell ref="A18:F18"/>
    <mergeCell ref="A1:F6"/>
    <mergeCell ref="A7:D8"/>
    <mergeCell ref="E7:F7"/>
    <mergeCell ref="E8:F8"/>
    <mergeCell ref="A9:F9"/>
    <mergeCell ref="A10:F10"/>
    <mergeCell ref="A11:F11"/>
    <mergeCell ref="A13:F13"/>
    <mergeCell ref="A14:F15"/>
    <mergeCell ref="A16:F16"/>
    <mergeCell ref="A17:F17"/>
    <mergeCell ref="A19:C19"/>
    <mergeCell ref="D19:F19"/>
    <mergeCell ref="A20:C20"/>
    <mergeCell ref="D20:F20"/>
    <mergeCell ref="A21:C21"/>
    <mergeCell ref="D21:F22"/>
    <mergeCell ref="A22:C22"/>
    <mergeCell ref="A40:C40"/>
    <mergeCell ref="D40:E40"/>
    <mergeCell ref="A23:C23"/>
    <mergeCell ref="D23:F24"/>
    <mergeCell ref="A24:C26"/>
    <mergeCell ref="D25:F26"/>
    <mergeCell ref="A27:F27"/>
    <mergeCell ref="B34:C34"/>
    <mergeCell ref="C35:D35"/>
    <mergeCell ref="A36:C36"/>
    <mergeCell ref="A37:C37"/>
    <mergeCell ref="A38:C38"/>
    <mergeCell ref="A39:F39"/>
    <mergeCell ref="A41:F41"/>
    <mergeCell ref="A42:F42"/>
    <mergeCell ref="A43:F43"/>
    <mergeCell ref="A44:C44"/>
    <mergeCell ref="D44:F48"/>
    <mergeCell ref="A45:C45"/>
    <mergeCell ref="A46:C46"/>
    <mergeCell ref="A47:C47"/>
    <mergeCell ref="A48:C48"/>
  </mergeCells>
  <pageMargins left="0.7" right="0.7" top="0.75" bottom="0.75" header="0.3" footer="0.3"/>
  <pageSetup paperSize="9" scale="83" orientation="portrait" r:id="rId1"/>
  <colBreaks count="1" manualBreakCount="1">
    <brk id="6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06F75-DE6B-47BB-802A-94A37351E039}">
  <sheetPr>
    <pageSetUpPr fitToPage="1"/>
  </sheetPr>
  <dimension ref="A1:I49"/>
  <sheetViews>
    <sheetView tabSelected="1" zoomScale="83" zoomScaleNormal="83" workbookViewId="0">
      <selection activeCell="K14" sqref="K14"/>
    </sheetView>
  </sheetViews>
  <sheetFormatPr defaultColWidth="11.19921875" defaultRowHeight="15.6" x14ac:dyDescent="0.3"/>
  <cols>
    <col min="1" max="1" width="11.19921875" style="5"/>
    <col min="2" max="2" width="29.09765625" style="5" customWidth="1"/>
    <col min="3" max="5" width="11.19921875" style="5"/>
    <col min="6" max="6" width="21.796875" style="5" customWidth="1"/>
    <col min="7" max="16384" width="11.19921875" style="5"/>
  </cols>
  <sheetData>
    <row r="1" spans="1:7" x14ac:dyDescent="0.3">
      <c r="A1" s="35"/>
      <c r="B1" s="36"/>
      <c r="C1" s="36"/>
      <c r="D1" s="36"/>
      <c r="E1" s="36"/>
      <c r="F1" s="37"/>
    </row>
    <row r="2" spans="1:7" x14ac:dyDescent="0.3">
      <c r="A2" s="38"/>
      <c r="B2" s="39"/>
      <c r="C2" s="39"/>
      <c r="D2" s="39"/>
      <c r="E2" s="39"/>
      <c r="F2" s="40"/>
    </row>
    <row r="3" spans="1:7" x14ac:dyDescent="0.3">
      <c r="A3" s="38"/>
      <c r="B3" s="39"/>
      <c r="C3" s="39"/>
      <c r="D3" s="39"/>
      <c r="E3" s="39"/>
      <c r="F3" s="40"/>
    </row>
    <row r="4" spans="1:7" x14ac:dyDescent="0.3">
      <c r="A4" s="38"/>
      <c r="B4" s="39"/>
      <c r="C4" s="39"/>
      <c r="D4" s="39"/>
      <c r="E4" s="39"/>
      <c r="F4" s="40"/>
    </row>
    <row r="5" spans="1:7" x14ac:dyDescent="0.3">
      <c r="A5" s="38"/>
      <c r="B5" s="39"/>
      <c r="C5" s="39"/>
      <c r="D5" s="39"/>
      <c r="E5" s="39"/>
      <c r="F5" s="40"/>
    </row>
    <row r="6" spans="1:7" ht="16.2" thickBot="1" x14ac:dyDescent="0.35">
      <c r="A6" s="38"/>
      <c r="B6" s="39"/>
      <c r="C6" s="39"/>
      <c r="D6" s="39"/>
      <c r="E6" s="39"/>
      <c r="F6" s="40"/>
    </row>
    <row r="7" spans="1:7" x14ac:dyDescent="0.3">
      <c r="A7" s="41" t="s">
        <v>7</v>
      </c>
      <c r="B7" s="42"/>
      <c r="C7" s="42"/>
      <c r="D7" s="43"/>
      <c r="E7" s="47" t="s">
        <v>68</v>
      </c>
      <c r="F7" s="48"/>
      <c r="G7" s="6"/>
    </row>
    <row r="8" spans="1:7" x14ac:dyDescent="0.3">
      <c r="A8" s="44"/>
      <c r="B8" s="45"/>
      <c r="C8" s="45"/>
      <c r="D8" s="46"/>
      <c r="E8" s="49" t="s">
        <v>66</v>
      </c>
      <c r="F8" s="50"/>
      <c r="G8" s="6"/>
    </row>
    <row r="9" spans="1:7" ht="33" x14ac:dyDescent="0.3">
      <c r="A9" s="51"/>
      <c r="B9" s="52"/>
      <c r="C9" s="52"/>
      <c r="D9" s="52"/>
      <c r="E9" s="52"/>
      <c r="F9" s="53"/>
      <c r="G9" s="6"/>
    </row>
    <row r="10" spans="1:7" ht="16.2" thickBot="1" x14ac:dyDescent="0.35">
      <c r="A10" s="54" t="s">
        <v>8</v>
      </c>
      <c r="B10" s="55"/>
      <c r="C10" s="55"/>
      <c r="D10" s="55"/>
      <c r="E10" s="55"/>
      <c r="F10" s="56"/>
      <c r="G10" s="6"/>
    </row>
    <row r="11" spans="1:7" ht="28.2" customHeight="1" thickBot="1" x14ac:dyDescent="0.35">
      <c r="A11" s="57" t="s">
        <v>9</v>
      </c>
      <c r="B11" s="58"/>
      <c r="C11" s="58"/>
      <c r="D11" s="58"/>
      <c r="E11" s="58"/>
      <c r="F11" s="59"/>
      <c r="G11" s="6"/>
    </row>
    <row r="12" spans="1:7" ht="16.2" thickBot="1" x14ac:dyDescent="0.35">
      <c r="A12" s="7" t="s">
        <v>10</v>
      </c>
      <c r="B12" s="8"/>
      <c r="C12" s="8"/>
      <c r="D12" s="8"/>
      <c r="E12" s="8"/>
      <c r="F12" s="9"/>
      <c r="G12" s="6"/>
    </row>
    <row r="13" spans="1:7" ht="16.2" thickBot="1" x14ac:dyDescent="0.35">
      <c r="A13" s="60" t="s">
        <v>11</v>
      </c>
      <c r="B13" s="61"/>
      <c r="C13" s="61"/>
      <c r="D13" s="61"/>
      <c r="E13" s="61"/>
      <c r="F13" s="62"/>
      <c r="G13" s="6"/>
    </row>
    <row r="14" spans="1:7" x14ac:dyDescent="0.3">
      <c r="A14" s="63"/>
      <c r="B14" s="64"/>
      <c r="C14" s="64"/>
      <c r="D14" s="64"/>
      <c r="E14" s="64"/>
      <c r="F14" s="65"/>
      <c r="G14" s="6"/>
    </row>
    <row r="15" spans="1:7" ht="16.2" thickBot="1" x14ac:dyDescent="0.35">
      <c r="A15" s="66"/>
      <c r="B15" s="67"/>
      <c r="C15" s="67"/>
      <c r="D15" s="67"/>
      <c r="E15" s="67"/>
      <c r="F15" s="68"/>
      <c r="G15" s="6"/>
    </row>
    <row r="16" spans="1:7" ht="16.2" thickBot="1" x14ac:dyDescent="0.35">
      <c r="A16" s="60" t="s">
        <v>20</v>
      </c>
      <c r="B16" s="61"/>
      <c r="C16" s="61"/>
      <c r="D16" s="61"/>
      <c r="E16" s="61"/>
      <c r="F16" s="62"/>
      <c r="G16" s="6"/>
    </row>
    <row r="17" spans="1:7" ht="16.2" thickBot="1" x14ac:dyDescent="0.35">
      <c r="A17" s="69" t="s">
        <v>19</v>
      </c>
      <c r="B17" s="70"/>
      <c r="C17" s="70"/>
      <c r="D17" s="70"/>
      <c r="E17" s="70"/>
      <c r="F17" s="71"/>
      <c r="G17" s="6"/>
    </row>
    <row r="18" spans="1:7" ht="16.2" thickBot="1" x14ac:dyDescent="0.35">
      <c r="A18" s="32"/>
      <c r="B18" s="33"/>
      <c r="C18" s="33"/>
      <c r="D18" s="33"/>
      <c r="E18" s="33"/>
      <c r="F18" s="34"/>
      <c r="G18" s="6"/>
    </row>
    <row r="19" spans="1:7" ht="16.2" thickBot="1" x14ac:dyDescent="0.35">
      <c r="A19" s="60" t="s">
        <v>30</v>
      </c>
      <c r="B19" s="61"/>
      <c r="C19" s="62"/>
      <c r="D19" s="60"/>
      <c r="E19" s="61"/>
      <c r="F19" s="62"/>
      <c r="G19" s="6"/>
    </row>
    <row r="20" spans="1:7" ht="16.2" thickBot="1" x14ac:dyDescent="0.35">
      <c r="A20" s="60" t="s">
        <v>23</v>
      </c>
      <c r="B20" s="61"/>
      <c r="C20" s="62"/>
      <c r="D20" s="60"/>
      <c r="E20" s="61"/>
      <c r="F20" s="62"/>
      <c r="G20" s="6"/>
    </row>
    <row r="21" spans="1:7" ht="49.8" customHeight="1" thickBot="1" x14ac:dyDescent="0.35">
      <c r="A21" s="57" t="s">
        <v>22</v>
      </c>
      <c r="B21" s="58"/>
      <c r="C21" s="59"/>
      <c r="D21" s="72" t="s">
        <v>67</v>
      </c>
      <c r="E21" s="73"/>
      <c r="F21" s="74"/>
      <c r="G21" s="6"/>
    </row>
    <row r="22" spans="1:7" ht="16.2" thickBot="1" x14ac:dyDescent="0.35">
      <c r="A22" s="60" t="s">
        <v>25</v>
      </c>
      <c r="B22" s="61"/>
      <c r="C22" s="62"/>
      <c r="D22" s="75"/>
      <c r="E22" s="76"/>
      <c r="F22" s="77"/>
      <c r="G22" s="6"/>
    </row>
    <row r="23" spans="1:7" ht="16.2" thickBot="1" x14ac:dyDescent="0.35">
      <c r="A23" s="60" t="s">
        <v>24</v>
      </c>
      <c r="B23" s="61"/>
      <c r="C23" s="62"/>
      <c r="D23" s="81"/>
      <c r="E23" s="82"/>
      <c r="F23" s="83"/>
      <c r="G23" s="6"/>
    </row>
    <row r="24" spans="1:7" ht="16.2" thickBot="1" x14ac:dyDescent="0.35">
      <c r="A24" s="63"/>
      <c r="B24" s="64"/>
      <c r="C24" s="65"/>
      <c r="D24" s="84"/>
      <c r="E24" s="85"/>
      <c r="F24" s="86"/>
      <c r="G24" s="6"/>
    </row>
    <row r="25" spans="1:7" x14ac:dyDescent="0.3">
      <c r="A25" s="87"/>
      <c r="B25" s="88"/>
      <c r="C25" s="89"/>
      <c r="D25" s="63"/>
      <c r="E25" s="64"/>
      <c r="F25" s="65"/>
      <c r="G25" s="6"/>
    </row>
    <row r="26" spans="1:7" ht="16.2" thickBot="1" x14ac:dyDescent="0.35">
      <c r="A26" s="66"/>
      <c r="B26" s="67"/>
      <c r="C26" s="68"/>
      <c r="D26" s="66"/>
      <c r="E26" s="67"/>
      <c r="F26" s="68"/>
      <c r="G26" s="6"/>
    </row>
    <row r="27" spans="1:7" ht="16.2" thickBot="1" x14ac:dyDescent="0.35">
      <c r="A27" s="32"/>
      <c r="B27" s="33"/>
      <c r="C27" s="33"/>
      <c r="D27" s="33"/>
      <c r="E27" s="33"/>
      <c r="F27" s="34"/>
      <c r="G27" s="6"/>
    </row>
    <row r="28" spans="1:7" ht="16.2" thickBot="1" x14ac:dyDescent="0.35">
      <c r="A28" s="2" t="s">
        <v>0</v>
      </c>
      <c r="B28" s="3" t="s">
        <v>1</v>
      </c>
      <c r="C28" s="4"/>
      <c r="D28" s="4" t="s">
        <v>2</v>
      </c>
      <c r="E28" s="4" t="s">
        <v>26</v>
      </c>
      <c r="F28" s="4" t="s">
        <v>17</v>
      </c>
      <c r="G28" s="6"/>
    </row>
    <row r="29" spans="1:7" ht="16.2" thickBot="1" x14ac:dyDescent="0.35">
      <c r="A29" s="10">
        <v>1</v>
      </c>
      <c r="B29" s="11" t="s">
        <v>27</v>
      </c>
      <c r="C29" s="12"/>
      <c r="D29" s="12">
        <v>996713</v>
      </c>
      <c r="E29" s="13"/>
      <c r="F29" s="14">
        <v>2000</v>
      </c>
      <c r="G29" s="6"/>
    </row>
    <row r="30" spans="1:7" ht="16.2" thickBot="1" x14ac:dyDescent="0.35">
      <c r="A30" s="10"/>
      <c r="B30" s="19"/>
      <c r="C30" s="19"/>
      <c r="D30" s="19"/>
      <c r="E30" s="1"/>
      <c r="F30" s="15"/>
      <c r="G30" s="6"/>
    </row>
    <row r="31" spans="1:7" ht="16.2" thickBot="1" x14ac:dyDescent="0.35">
      <c r="A31" s="10">
        <v>2</v>
      </c>
      <c r="B31" s="20" t="s">
        <v>28</v>
      </c>
      <c r="C31" s="19"/>
      <c r="D31" s="12">
        <v>996713</v>
      </c>
      <c r="E31" s="1"/>
      <c r="F31" s="15">
        <v>850</v>
      </c>
      <c r="G31" s="6"/>
    </row>
    <row r="32" spans="1:7" ht="16.2" thickBot="1" x14ac:dyDescent="0.35">
      <c r="A32" s="10"/>
      <c r="B32" s="91" t="s">
        <v>69</v>
      </c>
      <c r="C32" s="92"/>
      <c r="D32" s="19"/>
      <c r="E32" s="1"/>
      <c r="F32" s="15"/>
      <c r="G32" s="6"/>
    </row>
    <row r="33" spans="1:9" ht="16.2" thickBot="1" x14ac:dyDescent="0.35">
      <c r="A33" s="10"/>
      <c r="B33" s="16"/>
      <c r="C33" s="12"/>
      <c r="D33" s="19"/>
      <c r="E33" s="1"/>
      <c r="F33" s="15"/>
      <c r="G33" s="6"/>
    </row>
    <row r="34" spans="1:9" ht="16.2" thickBot="1" x14ac:dyDescent="0.35">
      <c r="A34" s="10"/>
      <c r="B34" s="16"/>
      <c r="C34" s="12"/>
      <c r="D34" s="12"/>
      <c r="E34" s="19"/>
      <c r="F34" s="15"/>
      <c r="G34" s="6"/>
    </row>
    <row r="35" spans="1:9" ht="16.2" thickBot="1" x14ac:dyDescent="0.35">
      <c r="A35" s="10"/>
      <c r="B35" s="16"/>
      <c r="C35" s="12"/>
      <c r="D35" s="12"/>
      <c r="E35" s="19"/>
      <c r="F35" s="15"/>
      <c r="G35" s="6"/>
      <c r="I35" s="19"/>
    </row>
    <row r="36" spans="1:9" ht="16.2" thickBot="1" x14ac:dyDescent="0.35">
      <c r="A36" s="21"/>
      <c r="B36" s="22"/>
      <c r="C36" s="33"/>
      <c r="D36" s="34"/>
      <c r="E36" s="19" t="s">
        <v>21</v>
      </c>
      <c r="F36" s="15">
        <f>(F29+F31+F34)*9/100</f>
        <v>256.5</v>
      </c>
      <c r="G36" s="6"/>
    </row>
    <row r="37" spans="1:9" ht="16.2" thickBot="1" x14ac:dyDescent="0.35">
      <c r="A37" s="60"/>
      <c r="B37" s="61"/>
      <c r="C37" s="90"/>
      <c r="D37" s="18"/>
      <c r="E37" s="19" t="s">
        <v>21</v>
      </c>
      <c r="F37" s="15">
        <v>256.5</v>
      </c>
      <c r="G37" s="6"/>
    </row>
    <row r="38" spans="1:9" ht="16.2" thickBot="1" x14ac:dyDescent="0.35">
      <c r="A38" s="78"/>
      <c r="B38" s="79"/>
      <c r="C38" s="80"/>
      <c r="D38" s="18"/>
      <c r="E38" s="19"/>
      <c r="F38" s="15"/>
      <c r="G38" s="6"/>
    </row>
    <row r="39" spans="1:9" ht="16.2" thickBot="1" x14ac:dyDescent="0.35">
      <c r="A39" s="78"/>
      <c r="B39" s="79"/>
      <c r="C39" s="80"/>
      <c r="D39" s="18"/>
      <c r="E39" s="19" t="s">
        <v>16</v>
      </c>
      <c r="F39" s="15">
        <f>F29+F31+F36+F37</f>
        <v>3363</v>
      </c>
      <c r="G39" s="6"/>
    </row>
    <row r="40" spans="1:9" ht="16.2" thickBot="1" x14ac:dyDescent="0.35">
      <c r="A40" s="30"/>
      <c r="B40" s="31"/>
      <c r="C40" s="31"/>
      <c r="D40" s="115"/>
      <c r="E40" s="116"/>
      <c r="F40" s="15"/>
      <c r="G40" s="6"/>
    </row>
    <row r="41" spans="1:9" ht="16.2" thickBot="1" x14ac:dyDescent="0.35">
      <c r="A41" s="78"/>
      <c r="B41" s="79"/>
      <c r="C41" s="80"/>
      <c r="D41" s="105" t="s">
        <v>18</v>
      </c>
      <c r="E41" s="90"/>
      <c r="F41" s="15">
        <f>F39+F40</f>
        <v>3363</v>
      </c>
      <c r="G41" s="6"/>
    </row>
    <row r="42" spans="1:9" ht="16.2" thickBot="1" x14ac:dyDescent="0.35">
      <c r="A42" s="106"/>
      <c r="B42" s="107"/>
      <c r="C42" s="107"/>
      <c r="D42" s="107"/>
      <c r="E42" s="107"/>
      <c r="F42" s="108"/>
      <c r="G42" s="6"/>
    </row>
    <row r="43" spans="1:9" ht="16.2" thickBot="1" x14ac:dyDescent="0.35">
      <c r="A43" s="112" t="s">
        <v>70</v>
      </c>
      <c r="B43" s="113"/>
      <c r="C43" s="113"/>
      <c r="D43" s="113"/>
      <c r="E43" s="113"/>
      <c r="F43" s="114"/>
      <c r="G43" s="6"/>
    </row>
    <row r="44" spans="1:9" ht="16.2" thickBot="1" x14ac:dyDescent="0.35">
      <c r="A44" s="93"/>
      <c r="B44" s="94"/>
      <c r="C44" s="94"/>
      <c r="D44" s="94"/>
      <c r="E44" s="94"/>
      <c r="F44" s="95"/>
    </row>
    <row r="45" spans="1:9" ht="16.2" thickBot="1" x14ac:dyDescent="0.35">
      <c r="A45" s="109" t="s">
        <v>29</v>
      </c>
      <c r="B45" s="110"/>
      <c r="C45" s="111"/>
      <c r="D45" s="96" t="s">
        <v>4</v>
      </c>
      <c r="E45" s="97"/>
      <c r="F45" s="98"/>
    </row>
    <row r="46" spans="1:9" ht="16.2" thickBot="1" x14ac:dyDescent="0.35">
      <c r="A46" s="109" t="s">
        <v>71</v>
      </c>
      <c r="B46" s="110"/>
      <c r="C46" s="111"/>
      <c r="D46" s="99"/>
      <c r="E46" s="100"/>
      <c r="F46" s="101"/>
    </row>
    <row r="47" spans="1:9" ht="16.2" thickBot="1" x14ac:dyDescent="0.35">
      <c r="A47" s="109" t="s">
        <v>72</v>
      </c>
      <c r="B47" s="110"/>
      <c r="C47" s="111"/>
      <c r="D47" s="99"/>
      <c r="E47" s="100"/>
      <c r="F47" s="101"/>
    </row>
    <row r="48" spans="1:9" ht="16.2" thickBot="1" x14ac:dyDescent="0.35">
      <c r="A48" s="109" t="s">
        <v>73</v>
      </c>
      <c r="B48" s="110"/>
      <c r="C48" s="111"/>
      <c r="D48" s="99"/>
      <c r="E48" s="100"/>
      <c r="F48" s="101"/>
    </row>
    <row r="49" spans="1:6" ht="16.2" thickBot="1" x14ac:dyDescent="0.35">
      <c r="A49" s="109" t="s">
        <v>74</v>
      </c>
      <c r="B49" s="110"/>
      <c r="C49" s="111"/>
      <c r="D49" s="102"/>
      <c r="E49" s="103"/>
      <c r="F49" s="104"/>
    </row>
  </sheetData>
  <mergeCells count="41">
    <mergeCell ref="A44:F44"/>
    <mergeCell ref="D45:F49"/>
    <mergeCell ref="A39:C39"/>
    <mergeCell ref="A41:C41"/>
    <mergeCell ref="D41:E41"/>
    <mergeCell ref="A42:F42"/>
    <mergeCell ref="A45:C45"/>
    <mergeCell ref="A46:C46"/>
    <mergeCell ref="A47:C47"/>
    <mergeCell ref="A48:C48"/>
    <mergeCell ref="A49:C49"/>
    <mergeCell ref="A43:F43"/>
    <mergeCell ref="D40:E40"/>
    <mergeCell ref="A38:C38"/>
    <mergeCell ref="A23:C23"/>
    <mergeCell ref="D23:F24"/>
    <mergeCell ref="A24:C26"/>
    <mergeCell ref="D25:F26"/>
    <mergeCell ref="A27:F27"/>
    <mergeCell ref="A37:C37"/>
    <mergeCell ref="C36:D36"/>
    <mergeCell ref="B32:C32"/>
    <mergeCell ref="A19:C19"/>
    <mergeCell ref="D19:F19"/>
    <mergeCell ref="A20:C20"/>
    <mergeCell ref="D20:F20"/>
    <mergeCell ref="A21:C21"/>
    <mergeCell ref="D21:F22"/>
    <mergeCell ref="A22:C22"/>
    <mergeCell ref="A18:F18"/>
    <mergeCell ref="A1:F6"/>
    <mergeCell ref="A7:D8"/>
    <mergeCell ref="E7:F7"/>
    <mergeCell ref="E8:F8"/>
    <mergeCell ref="A9:F9"/>
    <mergeCell ref="A10:F10"/>
    <mergeCell ref="A11:F11"/>
    <mergeCell ref="A13:F13"/>
    <mergeCell ref="A14:F15"/>
    <mergeCell ref="A16:F16"/>
    <mergeCell ref="A17:F17"/>
  </mergeCells>
  <pageMargins left="0.7" right="0.7" top="0.75" bottom="0.75" header="0.3" footer="0.3"/>
  <pageSetup paperSize="9" scale="82" orientation="portrait" r:id="rId1"/>
  <colBreaks count="1" manualBreakCount="1">
    <brk id="6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64FB7-9474-4600-A0A7-3F075236CDB2}">
  <sheetPr>
    <pageSetUpPr fitToPage="1"/>
  </sheetPr>
  <dimension ref="A1:K49"/>
  <sheetViews>
    <sheetView topLeftCell="A14" zoomScale="83" zoomScaleNormal="83" workbookViewId="0">
      <selection activeCell="K26" sqref="K26"/>
    </sheetView>
  </sheetViews>
  <sheetFormatPr defaultColWidth="11.19921875" defaultRowHeight="15.6" x14ac:dyDescent="0.3"/>
  <cols>
    <col min="1" max="1" width="11.19921875" style="5"/>
    <col min="2" max="2" width="29.09765625" style="5" customWidth="1"/>
    <col min="3" max="5" width="11.19921875" style="5"/>
    <col min="6" max="6" width="21.796875" style="5" customWidth="1"/>
    <col min="7" max="16384" width="11.19921875" style="5"/>
  </cols>
  <sheetData>
    <row r="1" spans="1:7" x14ac:dyDescent="0.3">
      <c r="A1" s="35"/>
      <c r="B1" s="36"/>
      <c r="C1" s="36"/>
      <c r="D1" s="36"/>
      <c r="E1" s="36"/>
      <c r="F1" s="37"/>
    </row>
    <row r="2" spans="1:7" x14ac:dyDescent="0.3">
      <c r="A2" s="38"/>
      <c r="B2" s="39"/>
      <c r="C2" s="39"/>
      <c r="D2" s="39"/>
      <c r="E2" s="39"/>
      <c r="F2" s="40"/>
    </row>
    <row r="3" spans="1:7" x14ac:dyDescent="0.3">
      <c r="A3" s="38"/>
      <c r="B3" s="39"/>
      <c r="C3" s="39"/>
      <c r="D3" s="39"/>
      <c r="E3" s="39"/>
      <c r="F3" s="40"/>
    </row>
    <row r="4" spans="1:7" x14ac:dyDescent="0.3">
      <c r="A4" s="38"/>
      <c r="B4" s="39"/>
      <c r="C4" s="39"/>
      <c r="D4" s="39"/>
      <c r="E4" s="39"/>
      <c r="F4" s="40"/>
    </row>
    <row r="5" spans="1:7" x14ac:dyDescent="0.3">
      <c r="A5" s="38"/>
      <c r="B5" s="39"/>
      <c r="C5" s="39"/>
      <c r="D5" s="39"/>
      <c r="E5" s="39"/>
      <c r="F5" s="40"/>
    </row>
    <row r="6" spans="1:7" ht="16.2" thickBot="1" x14ac:dyDescent="0.35">
      <c r="A6" s="38"/>
      <c r="B6" s="39"/>
      <c r="C6" s="39"/>
      <c r="D6" s="39"/>
      <c r="E6" s="39"/>
      <c r="F6" s="40"/>
    </row>
    <row r="7" spans="1:7" x14ac:dyDescent="0.3">
      <c r="A7" s="41" t="s">
        <v>7</v>
      </c>
      <c r="B7" s="42"/>
      <c r="C7" s="42"/>
      <c r="D7" s="43"/>
      <c r="E7" s="47" t="s">
        <v>47</v>
      </c>
      <c r="F7" s="48"/>
      <c r="G7" s="6"/>
    </row>
    <row r="8" spans="1:7" x14ac:dyDescent="0.3">
      <c r="A8" s="44"/>
      <c r="B8" s="45"/>
      <c r="C8" s="45"/>
      <c r="D8" s="46"/>
      <c r="E8" s="49" t="s">
        <v>48</v>
      </c>
      <c r="F8" s="50"/>
      <c r="G8" s="6"/>
    </row>
    <row r="9" spans="1:7" ht="33" x14ac:dyDescent="0.3">
      <c r="A9" s="51"/>
      <c r="B9" s="52"/>
      <c r="C9" s="52"/>
      <c r="D9" s="52"/>
      <c r="E9" s="52"/>
      <c r="F9" s="53"/>
      <c r="G9" s="6"/>
    </row>
    <row r="10" spans="1:7" ht="16.2" thickBot="1" x14ac:dyDescent="0.35">
      <c r="A10" s="54" t="s">
        <v>8</v>
      </c>
      <c r="B10" s="55"/>
      <c r="C10" s="55"/>
      <c r="D10" s="55"/>
      <c r="E10" s="55"/>
      <c r="F10" s="56"/>
      <c r="G10" s="6"/>
    </row>
    <row r="11" spans="1:7" ht="28.2" customHeight="1" thickBot="1" x14ac:dyDescent="0.35">
      <c r="A11" s="57" t="s">
        <v>9</v>
      </c>
      <c r="B11" s="58"/>
      <c r="C11" s="58"/>
      <c r="D11" s="58"/>
      <c r="E11" s="58"/>
      <c r="F11" s="59"/>
      <c r="G11" s="6"/>
    </row>
    <row r="12" spans="1:7" ht="16.2" thickBot="1" x14ac:dyDescent="0.35">
      <c r="A12" s="7" t="s">
        <v>10</v>
      </c>
      <c r="B12" s="8"/>
      <c r="C12" s="8"/>
      <c r="D12" s="8"/>
      <c r="E12" s="8"/>
      <c r="F12" s="9"/>
      <c r="G12" s="6"/>
    </row>
    <row r="13" spans="1:7" ht="16.2" thickBot="1" x14ac:dyDescent="0.35">
      <c r="A13" s="60" t="s">
        <v>11</v>
      </c>
      <c r="B13" s="61"/>
      <c r="C13" s="61"/>
      <c r="D13" s="61"/>
      <c r="E13" s="61"/>
      <c r="F13" s="62"/>
      <c r="G13" s="6"/>
    </row>
    <row r="14" spans="1:7" x14ac:dyDescent="0.3">
      <c r="A14" s="63"/>
      <c r="B14" s="64"/>
      <c r="C14" s="64"/>
      <c r="D14" s="64"/>
      <c r="E14" s="64"/>
      <c r="F14" s="65"/>
      <c r="G14" s="6"/>
    </row>
    <row r="15" spans="1:7" ht="16.2" thickBot="1" x14ac:dyDescent="0.35">
      <c r="A15" s="66"/>
      <c r="B15" s="67"/>
      <c r="C15" s="67"/>
      <c r="D15" s="67"/>
      <c r="E15" s="67"/>
      <c r="F15" s="68"/>
      <c r="G15" s="6"/>
    </row>
    <row r="16" spans="1:7" ht="16.2" thickBot="1" x14ac:dyDescent="0.35">
      <c r="A16" s="60" t="s">
        <v>20</v>
      </c>
      <c r="B16" s="61"/>
      <c r="C16" s="61"/>
      <c r="D16" s="61"/>
      <c r="E16" s="61"/>
      <c r="F16" s="62"/>
      <c r="G16" s="6"/>
    </row>
    <row r="17" spans="1:11" ht="16.2" thickBot="1" x14ac:dyDescent="0.35">
      <c r="A17" s="69" t="s">
        <v>19</v>
      </c>
      <c r="B17" s="70"/>
      <c r="C17" s="70"/>
      <c r="D17" s="70"/>
      <c r="E17" s="70"/>
      <c r="F17" s="71"/>
      <c r="G17" s="6"/>
    </row>
    <row r="18" spans="1:11" ht="16.2" thickBot="1" x14ac:dyDescent="0.35">
      <c r="A18" s="32"/>
      <c r="B18" s="33"/>
      <c r="C18" s="33"/>
      <c r="D18" s="33"/>
      <c r="E18" s="33"/>
      <c r="F18" s="34"/>
      <c r="G18" s="6"/>
    </row>
    <row r="19" spans="1:11" ht="16.2" thickBot="1" x14ac:dyDescent="0.35">
      <c r="A19" s="60" t="s">
        <v>5</v>
      </c>
      <c r="B19" s="61"/>
      <c r="C19" s="62"/>
      <c r="D19" s="60" t="s">
        <v>15</v>
      </c>
      <c r="E19" s="61"/>
      <c r="F19" s="62"/>
      <c r="G19" s="6"/>
    </row>
    <row r="20" spans="1:11" ht="16.2" thickBot="1" x14ac:dyDescent="0.35">
      <c r="A20" s="60" t="s">
        <v>12</v>
      </c>
      <c r="B20" s="61"/>
      <c r="C20" s="62"/>
      <c r="D20" s="60" t="s">
        <v>49</v>
      </c>
      <c r="E20" s="61"/>
      <c r="F20" s="62"/>
      <c r="G20" s="6"/>
    </row>
    <row r="21" spans="1:11" ht="49.8" customHeight="1" thickBot="1" x14ac:dyDescent="0.35">
      <c r="A21" s="57" t="s">
        <v>13</v>
      </c>
      <c r="B21" s="58"/>
      <c r="C21" s="59"/>
      <c r="D21" s="81" t="s">
        <v>50</v>
      </c>
      <c r="E21" s="82"/>
      <c r="F21" s="83"/>
      <c r="G21" s="6"/>
    </row>
    <row r="22" spans="1:11" ht="16.2" thickBot="1" x14ac:dyDescent="0.35">
      <c r="A22" s="60" t="s">
        <v>14</v>
      </c>
      <c r="B22" s="61"/>
      <c r="C22" s="62"/>
      <c r="D22" s="84"/>
      <c r="E22" s="85"/>
      <c r="F22" s="86"/>
      <c r="G22" s="6"/>
    </row>
    <row r="23" spans="1:11" ht="16.2" thickBot="1" x14ac:dyDescent="0.35">
      <c r="A23" s="60" t="s">
        <v>6</v>
      </c>
      <c r="B23" s="61"/>
      <c r="C23" s="62"/>
      <c r="D23" s="81" t="s">
        <v>51</v>
      </c>
      <c r="E23" s="82"/>
      <c r="F23" s="83"/>
      <c r="G23" s="6"/>
    </row>
    <row r="24" spans="1:11" ht="16.2" thickBot="1" x14ac:dyDescent="0.35">
      <c r="A24" s="63"/>
      <c r="B24" s="64"/>
      <c r="C24" s="65"/>
      <c r="D24" s="84"/>
      <c r="E24" s="85"/>
      <c r="F24" s="86"/>
      <c r="G24" s="6"/>
    </row>
    <row r="25" spans="1:11" x14ac:dyDescent="0.3">
      <c r="A25" s="87"/>
      <c r="B25" s="88"/>
      <c r="C25" s="89"/>
      <c r="D25" s="63"/>
      <c r="E25" s="64"/>
      <c r="F25" s="65"/>
      <c r="G25" s="6"/>
    </row>
    <row r="26" spans="1:11" ht="16.2" thickBot="1" x14ac:dyDescent="0.35">
      <c r="A26" s="66"/>
      <c r="B26" s="67"/>
      <c r="C26" s="68"/>
      <c r="D26" s="66"/>
      <c r="E26" s="67"/>
      <c r="F26" s="68"/>
      <c r="G26" s="6"/>
    </row>
    <row r="27" spans="1:11" ht="16.2" thickBot="1" x14ac:dyDescent="0.35">
      <c r="A27" s="32"/>
      <c r="B27" s="33"/>
      <c r="C27" s="33"/>
      <c r="D27" s="33"/>
      <c r="E27" s="33"/>
      <c r="F27" s="34"/>
      <c r="G27" s="6"/>
    </row>
    <row r="28" spans="1:11" ht="16.2" thickBot="1" x14ac:dyDescent="0.35">
      <c r="A28" s="2" t="s">
        <v>0</v>
      </c>
      <c r="B28" s="3" t="s">
        <v>1</v>
      </c>
      <c r="C28" s="4" t="s">
        <v>2</v>
      </c>
      <c r="D28" s="4" t="s">
        <v>3</v>
      </c>
      <c r="E28" s="4" t="s">
        <v>32</v>
      </c>
      <c r="F28" s="4" t="s">
        <v>17</v>
      </c>
      <c r="G28" s="6"/>
    </row>
    <row r="29" spans="1:11" ht="16.2" thickBot="1" x14ac:dyDescent="0.35">
      <c r="A29" s="10">
        <v>1</v>
      </c>
      <c r="B29" s="11" t="s">
        <v>52</v>
      </c>
      <c r="C29" s="12">
        <v>48191010</v>
      </c>
      <c r="D29" s="12">
        <v>2</v>
      </c>
      <c r="E29" s="13">
        <v>630</v>
      </c>
      <c r="F29" s="14">
        <v>1260</v>
      </c>
      <c r="G29" s="6"/>
      <c r="K29" s="5">
        <f>12000+1500</f>
        <v>13500</v>
      </c>
    </row>
    <row r="30" spans="1:11" ht="16.2" thickBot="1" x14ac:dyDescent="0.35">
      <c r="A30" s="10"/>
      <c r="B30" s="26"/>
      <c r="C30" s="12"/>
      <c r="D30" s="27"/>
      <c r="E30" s="28"/>
      <c r="F30" s="14"/>
      <c r="G30" s="6"/>
    </row>
    <row r="31" spans="1:11" ht="16.2" thickBot="1" x14ac:dyDescent="0.35">
      <c r="A31" s="10"/>
      <c r="B31" s="19"/>
      <c r="C31" s="12"/>
      <c r="D31" s="105" t="s">
        <v>54</v>
      </c>
      <c r="E31" s="90"/>
      <c r="F31" s="15">
        <v>31.5</v>
      </c>
      <c r="G31" s="6"/>
    </row>
    <row r="32" spans="1:11" ht="16.2" thickBot="1" x14ac:dyDescent="0.35">
      <c r="A32" s="10"/>
      <c r="B32" s="17"/>
      <c r="C32" s="12"/>
      <c r="D32" s="105" t="s">
        <v>54</v>
      </c>
      <c r="E32" s="90"/>
      <c r="F32" s="15">
        <v>31.5</v>
      </c>
      <c r="G32" s="6"/>
    </row>
    <row r="33" spans="1:10" ht="16.2" thickBot="1" x14ac:dyDescent="0.35">
      <c r="A33" s="32"/>
      <c r="B33" s="33"/>
      <c r="C33" s="33"/>
      <c r="D33" s="33"/>
      <c r="E33" s="33"/>
      <c r="F33" s="34"/>
      <c r="G33" s="6"/>
    </row>
    <row r="34" spans="1:10" ht="16.2" thickBot="1" x14ac:dyDescent="0.35">
      <c r="A34" s="24">
        <v>2</v>
      </c>
      <c r="B34" s="19" t="s">
        <v>53</v>
      </c>
      <c r="C34" s="25">
        <v>996713</v>
      </c>
      <c r="D34" s="12">
        <v>1</v>
      </c>
      <c r="E34" s="13">
        <v>500</v>
      </c>
      <c r="F34" s="15">
        <v>500</v>
      </c>
      <c r="G34" s="6"/>
    </row>
    <row r="35" spans="1:10" ht="16.2" thickBot="1" x14ac:dyDescent="0.35">
      <c r="A35" s="24"/>
      <c r="B35" s="19"/>
      <c r="C35" s="25"/>
      <c r="D35" s="27"/>
      <c r="E35" s="28"/>
      <c r="F35" s="15"/>
      <c r="G35" s="6"/>
    </row>
    <row r="36" spans="1:10" ht="16.2" thickBot="1" x14ac:dyDescent="0.35">
      <c r="A36" s="24"/>
      <c r="B36" s="19"/>
      <c r="C36" s="25"/>
      <c r="D36" s="105" t="s">
        <v>21</v>
      </c>
      <c r="E36" s="90"/>
      <c r="F36" s="15">
        <v>45</v>
      </c>
      <c r="G36" s="6"/>
    </row>
    <row r="37" spans="1:10" ht="16.2" thickBot="1" x14ac:dyDescent="0.35">
      <c r="A37" s="19"/>
      <c r="B37" s="19"/>
      <c r="C37" s="1"/>
      <c r="D37" s="105" t="s">
        <v>21</v>
      </c>
      <c r="E37" s="90"/>
      <c r="F37" s="15">
        <v>45</v>
      </c>
      <c r="G37" s="6"/>
      <c r="J37" s="5">
        <f>1323+590</f>
        <v>1913</v>
      </c>
    </row>
    <row r="38" spans="1:10" ht="16.2" thickBot="1" x14ac:dyDescent="0.35">
      <c r="A38" s="120"/>
      <c r="B38" s="121"/>
      <c r="C38" s="121"/>
      <c r="D38" s="121"/>
      <c r="E38" s="121"/>
      <c r="F38" s="122"/>
      <c r="G38" s="6"/>
    </row>
    <row r="39" spans="1:10" ht="16.2" thickBot="1" x14ac:dyDescent="0.35">
      <c r="A39" s="123"/>
      <c r="B39" s="124"/>
      <c r="C39" s="125"/>
      <c r="D39" s="23"/>
      <c r="E39" s="1"/>
      <c r="F39" s="15"/>
      <c r="G39" s="6"/>
    </row>
    <row r="40" spans="1:10" ht="16.2" thickBot="1" x14ac:dyDescent="0.35">
      <c r="A40" s="78"/>
      <c r="B40" s="79"/>
      <c r="C40" s="80"/>
      <c r="D40" s="105" t="s">
        <v>16</v>
      </c>
      <c r="E40" s="90"/>
      <c r="F40" s="15">
        <f>F29+F31+F32+F34+F36+F37</f>
        <v>1913</v>
      </c>
      <c r="G40" s="6"/>
    </row>
    <row r="41" spans="1:10" ht="16.2" thickBot="1" x14ac:dyDescent="0.35">
      <c r="A41" s="117"/>
      <c r="B41" s="118"/>
      <c r="C41" s="118"/>
      <c r="D41" s="118"/>
      <c r="E41" s="118"/>
      <c r="F41" s="119"/>
      <c r="G41" s="6"/>
    </row>
    <row r="42" spans="1:10" ht="16.2" thickBot="1" x14ac:dyDescent="0.35">
      <c r="A42" s="78"/>
      <c r="B42" s="79"/>
      <c r="C42" s="80"/>
      <c r="D42" s="105" t="s">
        <v>18</v>
      </c>
      <c r="E42" s="90"/>
      <c r="F42" s="15">
        <v>1913</v>
      </c>
      <c r="G42" s="6"/>
    </row>
    <row r="43" spans="1:10" ht="16.2" thickBot="1" x14ac:dyDescent="0.35">
      <c r="A43" s="106"/>
      <c r="B43" s="107"/>
      <c r="C43" s="107"/>
      <c r="D43" s="107"/>
      <c r="E43" s="107"/>
      <c r="F43" s="108"/>
      <c r="G43" s="6"/>
    </row>
    <row r="44" spans="1:10" ht="16.2" thickBot="1" x14ac:dyDescent="0.35">
      <c r="A44" s="112" t="s">
        <v>55</v>
      </c>
      <c r="B44" s="113"/>
      <c r="C44" s="113"/>
      <c r="D44" s="113"/>
      <c r="E44" s="113"/>
      <c r="F44" s="114"/>
    </row>
    <row r="45" spans="1:10" ht="16.2" thickBot="1" x14ac:dyDescent="0.35">
      <c r="A45" s="109" t="s">
        <v>31</v>
      </c>
      <c r="B45" s="110"/>
      <c r="C45" s="111"/>
      <c r="D45" s="96" t="s">
        <v>4</v>
      </c>
      <c r="E45" s="97"/>
      <c r="F45" s="98"/>
    </row>
    <row r="46" spans="1:10" ht="16.2" thickBot="1" x14ac:dyDescent="0.35">
      <c r="A46" s="109"/>
      <c r="B46" s="110"/>
      <c r="C46" s="111"/>
      <c r="D46" s="99"/>
      <c r="E46" s="100"/>
      <c r="F46" s="101"/>
    </row>
    <row r="47" spans="1:10" ht="16.2" thickBot="1" x14ac:dyDescent="0.35">
      <c r="A47" s="109"/>
      <c r="B47" s="110"/>
      <c r="C47" s="111"/>
      <c r="D47" s="99"/>
      <c r="E47" s="100"/>
      <c r="F47" s="101"/>
    </row>
    <row r="48" spans="1:10" ht="16.2" thickBot="1" x14ac:dyDescent="0.35">
      <c r="A48" s="109"/>
      <c r="B48" s="110"/>
      <c r="C48" s="111"/>
      <c r="D48" s="99"/>
      <c r="E48" s="100"/>
      <c r="F48" s="101"/>
    </row>
    <row r="49" spans="1:6" ht="16.2" thickBot="1" x14ac:dyDescent="0.35">
      <c r="A49" s="109"/>
      <c r="B49" s="110"/>
      <c r="C49" s="111"/>
      <c r="D49" s="102"/>
      <c r="E49" s="103"/>
      <c r="F49" s="104"/>
    </row>
  </sheetData>
  <mergeCells count="44">
    <mergeCell ref="D31:E31"/>
    <mergeCell ref="D32:E32"/>
    <mergeCell ref="A38:F38"/>
    <mergeCell ref="A39:C39"/>
    <mergeCell ref="A18:F18"/>
    <mergeCell ref="A21:C21"/>
    <mergeCell ref="D21:F22"/>
    <mergeCell ref="A22:C22"/>
    <mergeCell ref="A23:C23"/>
    <mergeCell ref="D23:F24"/>
    <mergeCell ref="A24:C26"/>
    <mergeCell ref="D25:F26"/>
    <mergeCell ref="A27:F27"/>
    <mergeCell ref="A1:F6"/>
    <mergeCell ref="A7:D8"/>
    <mergeCell ref="E7:F7"/>
    <mergeCell ref="E8:F8"/>
    <mergeCell ref="A9:F9"/>
    <mergeCell ref="A10:F10"/>
    <mergeCell ref="A11:F11"/>
    <mergeCell ref="A13:F13"/>
    <mergeCell ref="A14:F15"/>
    <mergeCell ref="A16:F16"/>
    <mergeCell ref="A17:F17"/>
    <mergeCell ref="A19:C19"/>
    <mergeCell ref="D19:F19"/>
    <mergeCell ref="A20:C20"/>
    <mergeCell ref="D20:F20"/>
    <mergeCell ref="A43:F43"/>
    <mergeCell ref="A33:F33"/>
    <mergeCell ref="D36:E36"/>
    <mergeCell ref="D37:E37"/>
    <mergeCell ref="A40:C40"/>
    <mergeCell ref="D40:E40"/>
    <mergeCell ref="A41:F41"/>
    <mergeCell ref="A42:C42"/>
    <mergeCell ref="D42:E42"/>
    <mergeCell ref="A44:F44"/>
    <mergeCell ref="A45:C45"/>
    <mergeCell ref="D45:F49"/>
    <mergeCell ref="A46:C46"/>
    <mergeCell ref="A47:C47"/>
    <mergeCell ref="A48:C48"/>
    <mergeCell ref="A49:C49"/>
  </mergeCells>
  <pageMargins left="0.7" right="0.7" top="0.75" bottom="0.75" header="0.3" footer="0.3"/>
  <pageSetup paperSize="9" scale="82" orientation="portrait" r:id="rId1"/>
  <colBreaks count="1" manualBreakCount="1">
    <brk id="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TAKAI BILLING</vt:lpstr>
      <vt:lpstr>EFFICIENT BILLING</vt:lpstr>
      <vt:lpstr>MANIFEST BILLING</vt:lpstr>
      <vt:lpstr>MULTIPLE GST BILLING</vt:lpstr>
      <vt:lpstr>'EFFICIENT BILLING'!Print_Area</vt:lpstr>
      <vt:lpstr>'MANIFEST BILLING'!Print_Area</vt:lpstr>
      <vt:lpstr>'MULTIPLE GST BILLING'!Print_Area</vt:lpstr>
      <vt:lpstr>'TAKAI BILLING'!Print_Area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Utheerna D U</dc:creator>
  <cp:lastModifiedBy>mayur kadam</cp:lastModifiedBy>
  <cp:lastPrinted>2026-08-07T14:21:49Z</cp:lastPrinted>
  <dcterms:created xsi:type="dcterms:W3CDTF">2025-02-11T13:04:05Z</dcterms:created>
  <dcterms:modified xsi:type="dcterms:W3CDTF">2026-08-07T14:27:03Z</dcterms:modified>
</cp:coreProperties>
</file>